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ersonal\Data Analytics\Assignment 2\"/>
    </mc:Choice>
  </mc:AlternateContent>
  <xr:revisionPtr revIDLastSave="0" documentId="13_ncr:1_{DB292265-47B9-48D1-B3EF-F09484235E3A}" xr6:coauthVersionLast="47" xr6:coauthVersionMax="47" xr10:uidLastSave="{00000000-0000-0000-0000-000000000000}"/>
  <bookViews>
    <workbookView xWindow="20370" yWindow="-120" windowWidth="24240" windowHeight="13020" tabRatio="923" xr2:uid="{00000000-000D-0000-FFFF-FFFF00000000}"/>
  </bookViews>
  <sheets>
    <sheet name="Instructions" sheetId="1" r:id="rId1"/>
    <sheet name="Dataset" sheetId="2" r:id="rId2"/>
    <sheet name="Handling Missing Values " sheetId="3" r:id="rId3"/>
    <sheet name="Correcting Inconsistent Data" sheetId="4" r:id="rId4"/>
    <sheet name="Removing Duplicates" sheetId="5" r:id="rId5"/>
    <sheet name="Splitting and Merging Data " sheetId="6" r:id="rId6"/>
    <sheet name="Number Formatting " sheetId="7" r:id="rId7"/>
    <sheet name="Conditional Formatt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IR6213FxEpgZ/k1UDjxyMHI45/G9Bc960XOAAH4UN4="/>
    </ext>
  </extLst>
</workbook>
</file>

<file path=xl/calcChain.xml><?xml version="1.0" encoding="utf-8"?>
<calcChain xmlns="http://schemas.openxmlformats.org/spreadsheetml/2006/main">
  <c r="E32" i="7" l="1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J10" i="3"/>
  <c r="J9" i="3"/>
  <c r="J8" i="3" l="1"/>
</calcChain>
</file>

<file path=xl/sharedStrings.xml><?xml version="1.0" encoding="utf-8"?>
<sst xmlns="http://schemas.openxmlformats.org/spreadsheetml/2006/main" count="986" uniqueCount="137">
  <si>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</si>
  <si>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</si>
  <si>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</si>
  <si>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</si>
  <si>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</si>
  <si>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</si>
  <si>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</si>
  <si>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</si>
  <si>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</si>
  <si>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</si>
  <si>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</si>
  <si>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</si>
  <si>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</si>
  <si>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</si>
  <si>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</si>
  <si>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</si>
  <si>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</si>
  <si>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</si>
  <si>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</si>
  <si>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</si>
  <si>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</si>
  <si>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</si>
  <si>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</si>
  <si>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</si>
  <si>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</si>
  <si>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</si>
  <si>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</si>
  <si>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</si>
  <si>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</si>
  <si>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</si>
  <si>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</si>
  <si>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</si>
  <si>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</si>
  <si>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</si>
  <si>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</si>
  <si>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</si>
  <si>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</si>
  <si>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</si>
  <si>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</si>
  <si>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</si>
  <si>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</si>
  <si>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</si>
  <si>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</si>
  <si>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</si>
  <si>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</si>
  <si>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</si>
  <si>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</si>
  <si>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</si>
  <si>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</si>
  <si>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</si>
  <si>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</si>
  <si>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</si>
  <si>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</si>
  <si>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</si>
  <si>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</si>
  <si>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</si>
  <si>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</si>
  <si>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</si>
  <si>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</si>
  <si>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</si>
  <si>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</si>
  <si>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</si>
  <si>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</si>
  <si>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</si>
  <si>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</si>
  <si>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</si>
  <si>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</si>
  <si>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</si>
  <si>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</si>
  <si>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</si>
  <si>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</si>
  <si>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</si>
  <si>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</si>
  <si>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</si>
  <si>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</si>
  <si>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</si>
  <si>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</si>
  <si>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</si>
  <si>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</si>
  <si>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</si>
  <si>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</si>
  <si>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</si>
  <si>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</si>
  <si>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</si>
  <si>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</si>
  <si>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</si>
  <si>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</si>
  <si>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</si>
  <si>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</si>
  <si>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</si>
  <si>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</si>
  <si>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</si>
  <si>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</si>
  <si>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</si>
  <si>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</si>
  <si>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</si>
  <si>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</si>
  <si>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</si>
  <si>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</si>
  <si>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</si>
  <si>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</si>
  <si>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</si>
  <si>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</si>
  <si>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</si>
  <si>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</si>
  <si>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</si>
  <si>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</si>
  <si>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</si>
  <si>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</si>
  <si>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</si>
  <si>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</si>
  <si>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</si>
  <si>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</si>
  <si>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</si>
  <si>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</si>
  <si>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</si>
  <si>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</si>
  <si>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Replace Electroni with Electronics IF(F3="Electroni","Electronics",F3)</t>
  </si>
  <si>
    <t>Manually Replace the Blank Category based on the  Product Type</t>
  </si>
  <si>
    <t>Then We can fill out the missing Prices</t>
  </si>
  <si>
    <t>Average of Headphones</t>
  </si>
  <si>
    <t>Average of Sunglasses</t>
  </si>
  <si>
    <t>Average of Camping Tent</t>
  </si>
  <si>
    <t>3 Duplications removed by selecting all the columns in Data -&gt; Remove Duplicates</t>
  </si>
  <si>
    <t>Manufacturing Date</t>
  </si>
  <si>
    <t>Country Code</t>
  </si>
  <si>
    <t>Splited Product ID to Manufacturing Date and Country code</t>
  </si>
  <si>
    <t>Product Brand</t>
  </si>
  <si>
    <t>Using Concatenate Function the Brand Name and Product Name can be Merged CONCATENATE(E2&amp;" "&amp;D2)</t>
  </si>
  <si>
    <t>Replace the last 2 words in the product ID to year 2026,  LEFT(A2,LEN(A2)-2)&amp;"2026" and created a new column Manufacturing date. Then in Home -&gt; Number Section -&gt; advance Menu -&gt; Selected Date in DD-MM-YYYY format</t>
  </si>
  <si>
    <t>Category - Electronics highlighted with Colour formatting with specific logic</t>
  </si>
  <si>
    <t>Price highlighted with Data bars - high to low</t>
  </si>
  <si>
    <t>Formatted Price Column in currency  by selecting Currency type in Home - Section Number - Different Type</t>
  </si>
  <si>
    <t>Either you can use MID Function or you can use Text to Column in the Data ribbon and can split with separator "-"</t>
  </si>
  <si>
    <t>Then correct the spelling of Category and fill up the missing category based on product name manually</t>
  </si>
  <si>
    <t>First the Product Name has been aligned in Proper</t>
  </si>
  <si>
    <t>Headphones and Sunglasses can be arrived based on Average price of that product and Camping Tent Price can be arrived bases to the average price of Category it is mapped.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</si>
</sst>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8" fillId="0" borderId="0" xfId="0" applyFont="1"/>
    <xf numFmtId="0" fontId="0" fillId="0" borderId="1" xfId="0" applyBorder="1"/>
    <xf numFmtId="0" fontId="8" fillId="0" borderId="1" xfId="0" applyFont="1" applyBorder="1"/>
    <xf numFmtId="0" fontId="9" fillId="0" borderId="0" xfId="0" applyFont="1"/>
    <xf numFmtId="0" fontId="5" fillId="0" borderId="1" xfId="0" applyFont="1" applyFill="1" applyBorder="1"/>
    <xf numFmtId="0" fontId="10" fillId="0" borderId="0" xfId="0" applyFont="1"/>
    <xf numFmtId="166" fontId="7" fillId="2" borderId="1" xfId="0" applyNumberFormat="1" applyFont="1" applyFill="1" applyBorder="1" applyAlignment="1">
      <alignment horizontal="center"/>
    </xf>
    <xf numFmtId="166" fontId="5" fillId="0" borderId="1" xfId="0" applyNumberFormat="1" applyFont="1" applyBorder="1"/>
    <xf numFmtId="166" fontId="5" fillId="3" borderId="1" xfId="0" applyNumberFormat="1" applyFont="1" applyFill="1" applyBorder="1"/>
    <xf numFmtId="166" fontId="0" fillId="0" borderId="0" xfId="0" applyNumberFormat="1"/>
    <xf numFmtId="14" fontId="11" fillId="2" borderId="1" xfId="0" applyNumberFormat="1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5" fillId="0" borderId="1" xfId="0" applyNumberFormat="1" applyFont="1" applyFill="1" applyBorder="1"/>
  </cellXfs>
  <cellStyles count="1">
    <cellStyle name="Normal" xfId="0" builtinId="0"/>
  </cellStyles>
  <dxfs count="3">
    <dxf>
      <font>
        <b/>
        <i val="0"/>
        <color theme="1"/>
      </font>
      <fill>
        <patternFill patternType="gray0625">
          <fgColor theme="4" tint="0.39991454817346722"/>
          <bgColor rgb="FF92D050"/>
        </patternFill>
      </fill>
    </dxf>
    <dxf>
      <fill>
        <patternFill patternType="gray125"/>
      </fill>
    </dxf>
    <dxf>
      <font>
        <b/>
        <i val="0"/>
        <color theme="1"/>
      </font>
      <fill>
        <patternFill patternType="gray0625">
          <fgColor theme="4" tint="0.39991454817346722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C24" sqref="C24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13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13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13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15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15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13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15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13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15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K25" sqref="K2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8" t="s">
        <v>47</v>
      </c>
      <c r="B2" s="8" t="s">
        <v>48</v>
      </c>
      <c r="C2" s="8" t="s">
        <v>49</v>
      </c>
      <c r="D2" s="8">
        <v>30</v>
      </c>
      <c r="E2" s="8">
        <v>5</v>
      </c>
      <c r="F2" s="8" t="s">
        <v>32</v>
      </c>
    </row>
    <row r="3" spans="1:16" ht="15.75" customHeight="1" x14ac:dyDescent="0.25">
      <c r="A3" s="9" t="s">
        <v>105</v>
      </c>
      <c r="B3" s="9" t="s">
        <v>106</v>
      </c>
      <c r="C3" s="9" t="s">
        <v>107</v>
      </c>
      <c r="D3" s="9">
        <v>40</v>
      </c>
      <c r="E3" s="9">
        <v>10</v>
      </c>
      <c r="F3" s="9" t="s">
        <v>36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9" t="s">
        <v>72</v>
      </c>
      <c r="B4" s="9" t="s">
        <v>73</v>
      </c>
      <c r="C4" s="9" t="s">
        <v>74</v>
      </c>
      <c r="D4" s="9">
        <v>50</v>
      </c>
      <c r="E4" s="9">
        <v>35</v>
      </c>
      <c r="F4" s="9" t="s">
        <v>75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9" t="s">
        <v>72</v>
      </c>
      <c r="B5" s="9" t="s">
        <v>73</v>
      </c>
      <c r="C5" s="9" t="s">
        <v>74</v>
      </c>
      <c r="D5" s="9">
        <v>50</v>
      </c>
      <c r="E5" s="9">
        <v>35</v>
      </c>
      <c r="F5" s="9" t="s">
        <v>75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9" t="s">
        <v>110</v>
      </c>
      <c r="B6" s="9" t="s">
        <v>111</v>
      </c>
      <c r="C6" s="9" t="s">
        <v>112</v>
      </c>
      <c r="D6" s="9">
        <v>50</v>
      </c>
      <c r="E6" s="9">
        <v>50</v>
      </c>
      <c r="F6" s="9" t="s">
        <v>32</v>
      </c>
    </row>
    <row r="7" spans="1:16" ht="15.75" customHeight="1" x14ac:dyDescent="0.2">
      <c r="A7" s="8" t="s">
        <v>102</v>
      </c>
      <c r="B7" s="8" t="s">
        <v>103</v>
      </c>
      <c r="C7" s="8" t="s">
        <v>104</v>
      </c>
      <c r="D7" s="8">
        <v>60</v>
      </c>
      <c r="E7" s="8">
        <v>30</v>
      </c>
      <c r="F7" s="8" t="s">
        <v>32</v>
      </c>
    </row>
    <row r="8" spans="1:16" ht="15.75" customHeight="1" x14ac:dyDescent="0.2">
      <c r="A8" s="8" t="s">
        <v>40</v>
      </c>
      <c r="B8" s="8" t="s">
        <v>41</v>
      </c>
      <c r="C8" s="8" t="s">
        <v>42</v>
      </c>
      <c r="D8" s="8">
        <v>70</v>
      </c>
      <c r="E8" s="8">
        <v>20</v>
      </c>
      <c r="F8" s="8"/>
    </row>
    <row r="9" spans="1:16" ht="15.75" customHeight="1" x14ac:dyDescent="0.2">
      <c r="A9" s="9" t="s">
        <v>29</v>
      </c>
      <c r="B9" s="9" t="s">
        <v>30</v>
      </c>
      <c r="C9" s="9" t="s">
        <v>31</v>
      </c>
      <c r="D9" s="9">
        <v>80</v>
      </c>
      <c r="E9" s="9">
        <v>15</v>
      </c>
      <c r="F9" s="9" t="s">
        <v>32</v>
      </c>
    </row>
    <row r="10" spans="1:16" ht="15.75" customHeight="1" x14ac:dyDescent="0.2">
      <c r="A10" s="9" t="s">
        <v>89</v>
      </c>
      <c r="B10" s="9" t="s">
        <v>90</v>
      </c>
      <c r="C10" s="9" t="s">
        <v>91</v>
      </c>
      <c r="D10" s="9">
        <v>80</v>
      </c>
      <c r="E10" s="9">
        <v>20</v>
      </c>
      <c r="F10" s="9" t="s">
        <v>36</v>
      </c>
    </row>
    <row r="11" spans="1:16" ht="15.75" customHeight="1" x14ac:dyDescent="0.2">
      <c r="A11" s="9" t="s">
        <v>50</v>
      </c>
      <c r="B11" s="9" t="s">
        <v>51</v>
      </c>
      <c r="C11" s="9" t="s">
        <v>52</v>
      </c>
      <c r="D11" s="9">
        <v>90</v>
      </c>
      <c r="E11" s="9">
        <v>35</v>
      </c>
      <c r="F11" s="9" t="s">
        <v>36</v>
      </c>
    </row>
    <row r="12" spans="1:16" ht="15.75" customHeight="1" x14ac:dyDescent="0.2">
      <c r="A12" s="9" t="s">
        <v>63</v>
      </c>
      <c r="B12" s="9" t="s">
        <v>30</v>
      </c>
      <c r="C12" s="9" t="s">
        <v>49</v>
      </c>
      <c r="D12" s="9">
        <v>90</v>
      </c>
      <c r="E12" s="9">
        <v>40</v>
      </c>
      <c r="F12" s="9"/>
    </row>
    <row r="13" spans="1:16" ht="15.75" customHeight="1" x14ac:dyDescent="0.2">
      <c r="A13" s="9" t="s">
        <v>113</v>
      </c>
      <c r="B13" s="9" t="s">
        <v>114</v>
      </c>
      <c r="C13" s="9" t="s">
        <v>115</v>
      </c>
      <c r="D13" s="9">
        <v>100</v>
      </c>
      <c r="E13" s="9">
        <v>20</v>
      </c>
      <c r="F13" s="9" t="s">
        <v>75</v>
      </c>
    </row>
    <row r="14" spans="1:16" ht="15.75" customHeight="1" x14ac:dyDescent="0.2">
      <c r="A14" s="8" t="s">
        <v>64</v>
      </c>
      <c r="B14" s="8" t="s">
        <v>34</v>
      </c>
      <c r="C14" s="8" t="s">
        <v>65</v>
      </c>
      <c r="D14" s="8">
        <v>120</v>
      </c>
      <c r="E14" s="8">
        <v>35</v>
      </c>
      <c r="F14" s="8"/>
    </row>
    <row r="15" spans="1:16" ht="15.75" customHeight="1" x14ac:dyDescent="0.2">
      <c r="A15" s="8" t="s">
        <v>33</v>
      </c>
      <c r="B15" s="8" t="s">
        <v>34</v>
      </c>
      <c r="C15" s="8" t="s">
        <v>35</v>
      </c>
      <c r="D15" s="8">
        <v>130</v>
      </c>
      <c r="E15" s="8">
        <v>40</v>
      </c>
      <c r="F15" s="8" t="s">
        <v>36</v>
      </c>
    </row>
    <row r="16" spans="1:16" ht="15.75" customHeight="1" x14ac:dyDescent="0.2">
      <c r="A16" s="9" t="s">
        <v>56</v>
      </c>
      <c r="B16" s="9" t="s">
        <v>57</v>
      </c>
      <c r="C16" s="9" t="s">
        <v>58</v>
      </c>
      <c r="D16" s="9">
        <v>130</v>
      </c>
      <c r="E16" s="9">
        <v>10</v>
      </c>
      <c r="F16" s="9" t="s">
        <v>59</v>
      </c>
    </row>
    <row r="17" spans="1:6" ht="15.75" customHeight="1" x14ac:dyDescent="0.2">
      <c r="A17" s="8" t="s">
        <v>108</v>
      </c>
      <c r="B17" s="8" t="s">
        <v>93</v>
      </c>
      <c r="C17" s="8" t="s">
        <v>109</v>
      </c>
      <c r="D17" s="8">
        <v>130</v>
      </c>
      <c r="E17" s="8">
        <v>5</v>
      </c>
      <c r="F17" s="8" t="s">
        <v>28</v>
      </c>
    </row>
    <row r="18" spans="1:6" ht="15.75" customHeight="1" x14ac:dyDescent="0.2">
      <c r="A18" s="9" t="s">
        <v>66</v>
      </c>
      <c r="B18" s="9" t="s">
        <v>67</v>
      </c>
      <c r="C18" s="9" t="s">
        <v>68</v>
      </c>
      <c r="D18" s="9">
        <v>150</v>
      </c>
      <c r="E18" s="9">
        <v>15</v>
      </c>
      <c r="F18" s="9" t="s">
        <v>46</v>
      </c>
    </row>
    <row r="19" spans="1:6" ht="15.75" customHeight="1" x14ac:dyDescent="0.2">
      <c r="A19" s="8" t="s">
        <v>80</v>
      </c>
      <c r="B19" s="8" t="s">
        <v>81</v>
      </c>
      <c r="C19" s="8" t="s">
        <v>82</v>
      </c>
      <c r="D19" s="8">
        <v>150</v>
      </c>
      <c r="E19" s="8">
        <v>15</v>
      </c>
      <c r="F19" s="8" t="s">
        <v>32</v>
      </c>
    </row>
    <row r="20" spans="1:6" ht="15.75" customHeight="1" x14ac:dyDescent="0.2">
      <c r="A20" s="8" t="s">
        <v>92</v>
      </c>
      <c r="B20" s="8" t="s">
        <v>93</v>
      </c>
      <c r="C20" s="8" t="s">
        <v>94</v>
      </c>
      <c r="D20" s="8">
        <v>150</v>
      </c>
      <c r="E20" s="8">
        <v>30</v>
      </c>
      <c r="F20" s="8"/>
    </row>
    <row r="21" spans="1:6" ht="15.75" customHeight="1" x14ac:dyDescent="0.2">
      <c r="A21" s="8" t="s">
        <v>76</v>
      </c>
      <c r="B21" s="8" t="s">
        <v>67</v>
      </c>
      <c r="C21" s="8" t="s">
        <v>77</v>
      </c>
      <c r="D21" s="8">
        <v>160</v>
      </c>
      <c r="E21" s="8">
        <v>15</v>
      </c>
      <c r="F21" s="8" t="s">
        <v>46</v>
      </c>
    </row>
    <row r="22" spans="1:6" ht="15.75" customHeight="1" x14ac:dyDescent="0.2">
      <c r="A22" s="8" t="s">
        <v>69</v>
      </c>
      <c r="B22" s="8" t="s">
        <v>70</v>
      </c>
      <c r="C22" s="8" t="s">
        <v>71</v>
      </c>
      <c r="D22" s="8">
        <v>250</v>
      </c>
      <c r="E22" s="8">
        <v>20</v>
      </c>
      <c r="F22" s="8" t="s">
        <v>46</v>
      </c>
    </row>
    <row r="23" spans="1:6" ht="15.75" customHeight="1" x14ac:dyDescent="0.2">
      <c r="A23" s="9" t="s">
        <v>69</v>
      </c>
      <c r="B23" s="9" t="s">
        <v>70</v>
      </c>
      <c r="C23" s="9" t="s">
        <v>71</v>
      </c>
      <c r="D23" s="9">
        <v>250</v>
      </c>
      <c r="E23" s="9">
        <v>20</v>
      </c>
      <c r="F23" s="9" t="s">
        <v>46</v>
      </c>
    </row>
    <row r="24" spans="1:6" ht="15.75" customHeight="1" x14ac:dyDescent="0.2">
      <c r="A24" s="8" t="s">
        <v>100</v>
      </c>
      <c r="B24" s="8" t="s">
        <v>51</v>
      </c>
      <c r="C24" s="8" t="s">
        <v>101</v>
      </c>
      <c r="D24" s="8">
        <v>400</v>
      </c>
      <c r="E24" s="8">
        <v>40</v>
      </c>
      <c r="F24" s="8" t="s">
        <v>36</v>
      </c>
    </row>
    <row r="25" spans="1:6" ht="15.75" customHeight="1" x14ac:dyDescent="0.2">
      <c r="A25" s="8" t="s">
        <v>53</v>
      </c>
      <c r="B25" s="8" t="s">
        <v>54</v>
      </c>
      <c r="C25" s="8" t="s">
        <v>55</v>
      </c>
      <c r="D25" s="8">
        <v>500</v>
      </c>
      <c r="E25" s="8">
        <v>50</v>
      </c>
      <c r="F25" s="8" t="s">
        <v>28</v>
      </c>
    </row>
    <row r="26" spans="1:6" ht="15.75" customHeight="1" x14ac:dyDescent="0.2">
      <c r="A26" s="8" t="s">
        <v>86</v>
      </c>
      <c r="B26" s="8" t="s">
        <v>87</v>
      </c>
      <c r="C26" s="8" t="s">
        <v>88</v>
      </c>
      <c r="D26" s="8">
        <v>700</v>
      </c>
      <c r="E26" s="8">
        <v>50</v>
      </c>
      <c r="F26" s="8" t="s">
        <v>28</v>
      </c>
    </row>
    <row r="27" spans="1:6" ht="15.75" customHeight="1" x14ac:dyDescent="0.2">
      <c r="A27" s="8" t="s">
        <v>95</v>
      </c>
      <c r="B27" s="8" t="s">
        <v>96</v>
      </c>
      <c r="C27" s="8" t="s">
        <v>97</v>
      </c>
      <c r="D27" s="8">
        <v>800</v>
      </c>
      <c r="E27" s="8">
        <v>45</v>
      </c>
      <c r="F27" s="8" t="s">
        <v>28</v>
      </c>
    </row>
    <row r="28" spans="1:6" ht="15.75" customHeight="1" x14ac:dyDescent="0.2">
      <c r="A28" s="9" t="s">
        <v>37</v>
      </c>
      <c r="B28" s="9" t="s">
        <v>38</v>
      </c>
      <c r="C28" s="9" t="s">
        <v>39</v>
      </c>
      <c r="D28" s="9">
        <v>900</v>
      </c>
      <c r="E28" s="9">
        <v>25</v>
      </c>
      <c r="F28" s="9" t="s">
        <v>28</v>
      </c>
    </row>
    <row r="29" spans="1:6" ht="15.75" customHeight="1" x14ac:dyDescent="0.2">
      <c r="A29" s="8" t="s">
        <v>60</v>
      </c>
      <c r="B29" s="8" t="s">
        <v>61</v>
      </c>
      <c r="C29" s="8" t="s">
        <v>62</v>
      </c>
      <c r="D29" s="8">
        <v>950</v>
      </c>
      <c r="E29" s="8">
        <v>25</v>
      </c>
      <c r="F29" s="8" t="s">
        <v>28</v>
      </c>
    </row>
    <row r="30" spans="1:6" ht="15.75" customHeight="1" x14ac:dyDescent="0.2">
      <c r="A30" s="8" t="s">
        <v>60</v>
      </c>
      <c r="B30" s="8" t="s">
        <v>61</v>
      </c>
      <c r="C30" s="8" t="s">
        <v>62</v>
      </c>
      <c r="D30" s="8">
        <v>950</v>
      </c>
      <c r="E30" s="8">
        <v>25</v>
      </c>
      <c r="F30" s="8" t="s">
        <v>28</v>
      </c>
    </row>
    <row r="31" spans="1:6" ht="15.75" customHeight="1" x14ac:dyDescent="0.2">
      <c r="A31" s="9" t="s">
        <v>78</v>
      </c>
      <c r="B31" s="9" t="s">
        <v>26</v>
      </c>
      <c r="C31" s="9" t="s">
        <v>79</v>
      </c>
      <c r="D31" s="9">
        <v>980</v>
      </c>
      <c r="E31" s="9">
        <v>10</v>
      </c>
      <c r="F31" s="9" t="s">
        <v>28</v>
      </c>
    </row>
    <row r="32" spans="1:6" ht="15.75" customHeight="1" x14ac:dyDescent="0.2">
      <c r="A32" s="8" t="s">
        <v>25</v>
      </c>
      <c r="B32" s="8" t="s">
        <v>26</v>
      </c>
      <c r="C32" s="8" t="s">
        <v>27</v>
      </c>
      <c r="D32" s="8">
        <v>1000</v>
      </c>
      <c r="E32" s="8">
        <v>30</v>
      </c>
      <c r="F32" s="8" t="s">
        <v>28</v>
      </c>
    </row>
    <row r="33" spans="1:6" ht="15.75" customHeight="1" x14ac:dyDescent="0.2">
      <c r="A33" s="9" t="s">
        <v>43</v>
      </c>
      <c r="B33" s="9" t="s">
        <v>44</v>
      </c>
      <c r="C33" s="9" t="s">
        <v>45</v>
      </c>
      <c r="D33" s="9"/>
      <c r="E33" s="9">
        <v>45</v>
      </c>
      <c r="F33" s="9" t="s">
        <v>46</v>
      </c>
    </row>
    <row r="34" spans="1:6" ht="15.75" customHeight="1" x14ac:dyDescent="0.2">
      <c r="A34" s="9" t="s">
        <v>83</v>
      </c>
      <c r="B34" s="9" t="s">
        <v>84</v>
      </c>
      <c r="C34" s="9" t="s">
        <v>85</v>
      </c>
      <c r="D34" s="9"/>
      <c r="E34" s="9">
        <v>10</v>
      </c>
      <c r="F34" s="9" t="s">
        <v>59</v>
      </c>
    </row>
    <row r="35" spans="1:6" ht="15.75" customHeight="1" x14ac:dyDescent="0.2">
      <c r="A35" s="9" t="s">
        <v>98</v>
      </c>
      <c r="B35" s="9" t="s">
        <v>81</v>
      </c>
      <c r="C35" s="9" t="s">
        <v>99</v>
      </c>
      <c r="D35" s="9"/>
      <c r="E35" s="9">
        <v>25</v>
      </c>
      <c r="F35" s="9" t="s">
        <v>32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A2:F35">
    <sortCondition ref="D2:D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DDE0-E4F9-4209-B2E0-FEC383BFB20E}">
  <dimension ref="A1:J35"/>
  <sheetViews>
    <sheetView workbookViewId="0">
      <selection activeCell="I24" sqref="I24"/>
    </sheetView>
  </sheetViews>
  <sheetFormatPr defaultRowHeight="12.75" x14ac:dyDescent="0.2"/>
  <cols>
    <col min="1" max="1" width="10.85546875" bestFit="1" customWidth="1"/>
    <col min="2" max="2" width="14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9" max="9" width="87.140625" bestFit="1" customWidth="1"/>
  </cols>
  <sheetData>
    <row r="1" spans="1:10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0" x14ac:dyDescent="0.2">
      <c r="A2" s="8" t="s">
        <v>92</v>
      </c>
      <c r="B2" s="8" t="s">
        <v>93</v>
      </c>
      <c r="C2" s="8" t="s">
        <v>94</v>
      </c>
      <c r="D2" s="8">
        <v>150</v>
      </c>
      <c r="E2" s="8">
        <v>30</v>
      </c>
      <c r="F2" s="8" t="s">
        <v>75</v>
      </c>
      <c r="H2">
        <v>1</v>
      </c>
      <c r="I2" s="10" t="s">
        <v>135</v>
      </c>
    </row>
    <row r="3" spans="1:10" x14ac:dyDescent="0.2">
      <c r="A3" s="14" t="s">
        <v>72</v>
      </c>
      <c r="B3" s="14" t="s">
        <v>73</v>
      </c>
      <c r="C3" s="14" t="s">
        <v>74</v>
      </c>
      <c r="D3" s="14">
        <v>50</v>
      </c>
      <c r="E3" s="14">
        <v>35</v>
      </c>
      <c r="F3" s="14" t="s">
        <v>75</v>
      </c>
      <c r="H3">
        <v>2</v>
      </c>
      <c r="I3" s="10" t="s">
        <v>134</v>
      </c>
    </row>
    <row r="4" spans="1:10" x14ac:dyDescent="0.2">
      <c r="A4" s="9" t="s">
        <v>72</v>
      </c>
      <c r="B4" s="9" t="s">
        <v>73</v>
      </c>
      <c r="C4" s="9" t="s">
        <v>74</v>
      </c>
      <c r="D4" s="9">
        <v>50</v>
      </c>
      <c r="E4" s="9">
        <v>35</v>
      </c>
      <c r="F4" s="9" t="s">
        <v>75</v>
      </c>
      <c r="H4">
        <v>3</v>
      </c>
      <c r="I4" s="10" t="s">
        <v>117</v>
      </c>
    </row>
    <row r="5" spans="1:10" x14ac:dyDescent="0.2">
      <c r="A5" s="9" t="s">
        <v>113</v>
      </c>
      <c r="B5" s="9" t="s">
        <v>114</v>
      </c>
      <c r="C5" s="9" t="s">
        <v>115</v>
      </c>
      <c r="D5" s="9">
        <v>100</v>
      </c>
      <c r="E5" s="9">
        <v>20</v>
      </c>
      <c r="F5" s="9" t="s">
        <v>75</v>
      </c>
      <c r="H5">
        <v>4</v>
      </c>
      <c r="I5" s="10" t="s">
        <v>118</v>
      </c>
    </row>
    <row r="6" spans="1:10" x14ac:dyDescent="0.2">
      <c r="A6" s="8" t="s">
        <v>86</v>
      </c>
      <c r="B6" s="8" t="s">
        <v>87</v>
      </c>
      <c r="C6" s="8" t="s">
        <v>88</v>
      </c>
      <c r="D6" s="8">
        <v>700</v>
      </c>
      <c r="E6" s="8">
        <v>50</v>
      </c>
      <c r="F6" s="8" t="s">
        <v>28</v>
      </c>
      <c r="H6">
        <v>5</v>
      </c>
      <c r="I6" s="10" t="s">
        <v>119</v>
      </c>
    </row>
    <row r="7" spans="1:10" x14ac:dyDescent="0.2">
      <c r="A7" s="14" t="s">
        <v>108</v>
      </c>
      <c r="B7" s="14" t="s">
        <v>93</v>
      </c>
      <c r="C7" s="14" t="s">
        <v>109</v>
      </c>
      <c r="D7" s="14">
        <v>130</v>
      </c>
      <c r="E7" s="14">
        <v>5</v>
      </c>
      <c r="F7" s="14" t="s">
        <v>28</v>
      </c>
      <c r="H7">
        <v>6</v>
      </c>
      <c r="I7" s="10" t="s">
        <v>136</v>
      </c>
    </row>
    <row r="8" spans="1:10" x14ac:dyDescent="0.2">
      <c r="A8" s="9" t="s">
        <v>69</v>
      </c>
      <c r="B8" s="9" t="s">
        <v>44</v>
      </c>
      <c r="C8" s="9" t="s">
        <v>71</v>
      </c>
      <c r="D8" s="9">
        <v>250</v>
      </c>
      <c r="E8" s="9">
        <v>20</v>
      </c>
      <c r="F8" s="9" t="s">
        <v>28</v>
      </c>
      <c r="I8" s="12" t="s">
        <v>120</v>
      </c>
      <c r="J8" s="11">
        <f>AVERAGEIFS(D:D,B:B,"Headphones",D:D,"&lt;&gt;")</f>
        <v>250</v>
      </c>
    </row>
    <row r="9" spans="1:10" x14ac:dyDescent="0.2">
      <c r="A9" s="9" t="s">
        <v>69</v>
      </c>
      <c r="B9" s="9" t="s">
        <v>44</v>
      </c>
      <c r="C9" s="9" t="s">
        <v>71</v>
      </c>
      <c r="D9" s="9">
        <v>250</v>
      </c>
      <c r="E9" s="9">
        <v>20</v>
      </c>
      <c r="F9" s="9" t="s">
        <v>28</v>
      </c>
      <c r="I9" s="12" t="s">
        <v>121</v>
      </c>
      <c r="J9" s="11">
        <f>AVERAGEIFS(D:D,B:B,"Sunglasses",D:D,"&lt;&gt;")</f>
        <v>150</v>
      </c>
    </row>
    <row r="10" spans="1:10" x14ac:dyDescent="0.2">
      <c r="A10" s="8" t="s">
        <v>43</v>
      </c>
      <c r="B10" s="8" t="s">
        <v>44</v>
      </c>
      <c r="C10" s="8" t="s">
        <v>45</v>
      </c>
      <c r="D10" s="8">
        <v>250</v>
      </c>
      <c r="E10" s="8">
        <v>45</v>
      </c>
      <c r="F10" s="8" t="s">
        <v>28</v>
      </c>
      <c r="I10" s="12" t="s">
        <v>122</v>
      </c>
      <c r="J10" s="11">
        <f>AVERAGEIFS(D:D,F:F,"Outdoor",D:D,"&lt;&gt;")</f>
        <v>100</v>
      </c>
    </row>
    <row r="11" spans="1:10" x14ac:dyDescent="0.2">
      <c r="A11" s="14" t="s">
        <v>60</v>
      </c>
      <c r="B11" s="14" t="s">
        <v>61</v>
      </c>
      <c r="C11" s="14" t="s">
        <v>62</v>
      </c>
      <c r="D11" s="14">
        <v>950</v>
      </c>
      <c r="E11" s="14">
        <v>25</v>
      </c>
      <c r="F11" s="14" t="s">
        <v>28</v>
      </c>
    </row>
    <row r="12" spans="1:10" x14ac:dyDescent="0.2">
      <c r="A12" s="9" t="s">
        <v>60</v>
      </c>
      <c r="B12" s="9" t="s">
        <v>61</v>
      </c>
      <c r="C12" s="9" t="s">
        <v>62</v>
      </c>
      <c r="D12" s="9">
        <v>950</v>
      </c>
      <c r="E12" s="9">
        <v>25</v>
      </c>
      <c r="F12" s="9" t="s">
        <v>28</v>
      </c>
    </row>
    <row r="13" spans="1:10" x14ac:dyDescent="0.2">
      <c r="A13" s="9" t="s">
        <v>78</v>
      </c>
      <c r="B13" s="9" t="s">
        <v>61</v>
      </c>
      <c r="C13" s="9" t="s">
        <v>79</v>
      </c>
      <c r="D13" s="9">
        <v>980</v>
      </c>
      <c r="E13" s="9">
        <v>10</v>
      </c>
      <c r="F13" s="9" t="s">
        <v>28</v>
      </c>
    </row>
    <row r="14" spans="1:10" x14ac:dyDescent="0.2">
      <c r="A14" s="8" t="s">
        <v>25</v>
      </c>
      <c r="B14" s="8" t="s">
        <v>61</v>
      </c>
      <c r="C14" s="8" t="s">
        <v>27</v>
      </c>
      <c r="D14" s="8">
        <v>1000</v>
      </c>
      <c r="E14" s="8">
        <v>30</v>
      </c>
      <c r="F14" s="8" t="s">
        <v>28</v>
      </c>
    </row>
    <row r="15" spans="1:10" x14ac:dyDescent="0.2">
      <c r="A15" s="14" t="s">
        <v>95</v>
      </c>
      <c r="B15" s="14" t="s">
        <v>96</v>
      </c>
      <c r="C15" s="14" t="s">
        <v>97</v>
      </c>
      <c r="D15" s="14">
        <v>800</v>
      </c>
      <c r="E15" s="14">
        <v>45</v>
      </c>
      <c r="F15" s="14" t="s">
        <v>28</v>
      </c>
    </row>
    <row r="16" spans="1:10" x14ac:dyDescent="0.2">
      <c r="A16" s="9" t="s">
        <v>37</v>
      </c>
      <c r="B16" s="9" t="s">
        <v>96</v>
      </c>
      <c r="C16" s="9" t="s">
        <v>39</v>
      </c>
      <c r="D16" s="9">
        <v>900</v>
      </c>
      <c r="E16" s="9">
        <v>25</v>
      </c>
      <c r="F16" s="9" t="s">
        <v>28</v>
      </c>
    </row>
    <row r="17" spans="1:6" x14ac:dyDescent="0.2">
      <c r="A17" s="9" t="s">
        <v>66</v>
      </c>
      <c r="B17" s="9" t="s">
        <v>67</v>
      </c>
      <c r="C17" s="9" t="s">
        <v>68</v>
      </c>
      <c r="D17" s="9">
        <v>150</v>
      </c>
      <c r="E17" s="9">
        <v>15</v>
      </c>
      <c r="F17" s="9" t="s">
        <v>28</v>
      </c>
    </row>
    <row r="18" spans="1:6" x14ac:dyDescent="0.2">
      <c r="A18" s="8" t="s">
        <v>76</v>
      </c>
      <c r="B18" s="8" t="s">
        <v>67</v>
      </c>
      <c r="C18" s="8" t="s">
        <v>77</v>
      </c>
      <c r="D18" s="8">
        <v>160</v>
      </c>
      <c r="E18" s="8">
        <v>15</v>
      </c>
      <c r="F18" s="8" t="s">
        <v>28</v>
      </c>
    </row>
    <row r="19" spans="1:6" x14ac:dyDescent="0.2">
      <c r="A19" s="14" t="s">
        <v>53</v>
      </c>
      <c r="B19" s="14" t="s">
        <v>54</v>
      </c>
      <c r="C19" s="14" t="s">
        <v>55</v>
      </c>
      <c r="D19" s="14">
        <v>500</v>
      </c>
      <c r="E19" s="14">
        <v>50</v>
      </c>
      <c r="F19" s="14" t="s">
        <v>28</v>
      </c>
    </row>
    <row r="20" spans="1:6" x14ac:dyDescent="0.2">
      <c r="A20" s="9" t="s">
        <v>63</v>
      </c>
      <c r="B20" s="9" t="s">
        <v>30</v>
      </c>
      <c r="C20" s="9" t="s">
        <v>49</v>
      </c>
      <c r="D20" s="9">
        <v>90</v>
      </c>
      <c r="E20" s="9">
        <v>40</v>
      </c>
      <c r="F20" s="9" t="s">
        <v>32</v>
      </c>
    </row>
    <row r="21" spans="1:6" x14ac:dyDescent="0.2">
      <c r="A21" s="9" t="s">
        <v>102</v>
      </c>
      <c r="B21" s="9" t="s">
        <v>103</v>
      </c>
      <c r="C21" s="9" t="s">
        <v>104</v>
      </c>
      <c r="D21" s="9">
        <v>60</v>
      </c>
      <c r="E21" s="9">
        <v>30</v>
      </c>
      <c r="F21" s="9" t="s">
        <v>32</v>
      </c>
    </row>
    <row r="22" spans="1:6" x14ac:dyDescent="0.2">
      <c r="A22" s="8" t="s">
        <v>110</v>
      </c>
      <c r="B22" s="8" t="s">
        <v>111</v>
      </c>
      <c r="C22" s="8" t="s">
        <v>112</v>
      </c>
      <c r="D22" s="8">
        <v>50</v>
      </c>
      <c r="E22" s="8">
        <v>50</v>
      </c>
      <c r="F22" s="8" t="s">
        <v>32</v>
      </c>
    </row>
    <row r="23" spans="1:6" x14ac:dyDescent="0.2">
      <c r="A23" s="14" t="s">
        <v>29</v>
      </c>
      <c r="B23" s="14" t="s">
        <v>30</v>
      </c>
      <c r="C23" s="14" t="s">
        <v>31</v>
      </c>
      <c r="D23" s="14">
        <v>80</v>
      </c>
      <c r="E23" s="14">
        <v>15</v>
      </c>
      <c r="F23" s="14" t="s">
        <v>32</v>
      </c>
    </row>
    <row r="24" spans="1:6" x14ac:dyDescent="0.2">
      <c r="A24" s="9" t="s">
        <v>80</v>
      </c>
      <c r="B24" s="9" t="s">
        <v>81</v>
      </c>
      <c r="C24" s="9" t="s">
        <v>82</v>
      </c>
      <c r="D24" s="9">
        <v>150</v>
      </c>
      <c r="E24" s="9">
        <v>15</v>
      </c>
      <c r="F24" s="9" t="s">
        <v>32</v>
      </c>
    </row>
    <row r="25" spans="1:6" x14ac:dyDescent="0.2">
      <c r="A25" s="9" t="s">
        <v>98</v>
      </c>
      <c r="B25" s="9" t="s">
        <v>81</v>
      </c>
      <c r="C25" s="9" t="s">
        <v>99</v>
      </c>
      <c r="D25" s="9">
        <v>150</v>
      </c>
      <c r="E25" s="9">
        <v>25</v>
      </c>
      <c r="F25" s="9" t="s">
        <v>32</v>
      </c>
    </row>
    <row r="26" spans="1:6" x14ac:dyDescent="0.2">
      <c r="A26" s="8" t="s">
        <v>47</v>
      </c>
      <c r="B26" s="8" t="s">
        <v>116</v>
      </c>
      <c r="C26" s="8" t="s">
        <v>49</v>
      </c>
      <c r="D26" s="8">
        <v>30</v>
      </c>
      <c r="E26" s="8">
        <v>5</v>
      </c>
      <c r="F26" s="8" t="s">
        <v>32</v>
      </c>
    </row>
    <row r="27" spans="1:6" x14ac:dyDescent="0.2">
      <c r="A27" s="14" t="s">
        <v>64</v>
      </c>
      <c r="B27" s="14" t="s">
        <v>34</v>
      </c>
      <c r="C27" s="14" t="s">
        <v>65</v>
      </c>
      <c r="D27" s="14">
        <v>120</v>
      </c>
      <c r="E27" s="14">
        <v>35</v>
      </c>
      <c r="F27" s="14" t="s">
        <v>36</v>
      </c>
    </row>
    <row r="28" spans="1:6" x14ac:dyDescent="0.2">
      <c r="A28" s="9" t="s">
        <v>50</v>
      </c>
      <c r="B28" s="9" t="s">
        <v>51</v>
      </c>
      <c r="C28" s="9" t="s">
        <v>52</v>
      </c>
      <c r="D28" s="9">
        <v>90</v>
      </c>
      <c r="E28" s="9">
        <v>35</v>
      </c>
      <c r="F28" s="9" t="s">
        <v>36</v>
      </c>
    </row>
    <row r="29" spans="1:6" x14ac:dyDescent="0.2">
      <c r="A29" s="9" t="s">
        <v>100</v>
      </c>
      <c r="B29" s="9" t="s">
        <v>51</v>
      </c>
      <c r="C29" s="9" t="s">
        <v>101</v>
      </c>
      <c r="D29" s="9">
        <v>400</v>
      </c>
      <c r="E29" s="9">
        <v>40</v>
      </c>
      <c r="F29" s="9" t="s">
        <v>36</v>
      </c>
    </row>
    <row r="30" spans="1:6" x14ac:dyDescent="0.2">
      <c r="A30" s="8" t="s">
        <v>33</v>
      </c>
      <c r="B30" s="8" t="s">
        <v>34</v>
      </c>
      <c r="C30" s="8" t="s">
        <v>35</v>
      </c>
      <c r="D30" s="8">
        <v>130</v>
      </c>
      <c r="E30" s="8">
        <v>40</v>
      </c>
      <c r="F30" s="8" t="s">
        <v>36</v>
      </c>
    </row>
    <row r="31" spans="1:6" x14ac:dyDescent="0.2">
      <c r="A31" s="14" t="s">
        <v>89</v>
      </c>
      <c r="B31" s="14" t="s">
        <v>90</v>
      </c>
      <c r="C31" s="14" t="s">
        <v>91</v>
      </c>
      <c r="D31" s="14">
        <v>80</v>
      </c>
      <c r="E31" s="14">
        <v>20</v>
      </c>
      <c r="F31" s="14" t="s">
        <v>36</v>
      </c>
    </row>
    <row r="32" spans="1:6" x14ac:dyDescent="0.2">
      <c r="A32" s="9" t="s">
        <v>105</v>
      </c>
      <c r="B32" s="9" t="s">
        <v>106</v>
      </c>
      <c r="C32" s="9" t="s">
        <v>107</v>
      </c>
      <c r="D32" s="9">
        <v>40</v>
      </c>
      <c r="E32" s="9">
        <v>10</v>
      </c>
      <c r="F32" s="9" t="s">
        <v>36</v>
      </c>
    </row>
    <row r="33" spans="1:6" x14ac:dyDescent="0.2">
      <c r="A33" s="8" t="s">
        <v>40</v>
      </c>
      <c r="B33" s="8" t="s">
        <v>41</v>
      </c>
      <c r="C33" s="8" t="s">
        <v>42</v>
      </c>
      <c r="D33" s="8">
        <v>70</v>
      </c>
      <c r="E33" s="8">
        <v>20</v>
      </c>
      <c r="F33" s="8" t="s">
        <v>59</v>
      </c>
    </row>
    <row r="34" spans="1:6" x14ac:dyDescent="0.2">
      <c r="A34" s="9" t="s">
        <v>83</v>
      </c>
      <c r="B34" s="9" t="s">
        <v>84</v>
      </c>
      <c r="C34" s="9" t="s">
        <v>85</v>
      </c>
      <c r="D34" s="9">
        <v>100</v>
      </c>
      <c r="E34" s="9">
        <v>10</v>
      </c>
      <c r="F34" s="9" t="s">
        <v>59</v>
      </c>
    </row>
    <row r="35" spans="1:6" x14ac:dyDescent="0.2">
      <c r="A35" s="9" t="s">
        <v>56</v>
      </c>
      <c r="B35" s="9" t="s">
        <v>57</v>
      </c>
      <c r="C35" s="9" t="s">
        <v>58</v>
      </c>
      <c r="D35" s="9">
        <v>130</v>
      </c>
      <c r="E35" s="9">
        <v>10</v>
      </c>
      <c r="F35" s="9" t="s">
        <v>59</v>
      </c>
    </row>
  </sheetData>
  <sortState xmlns:xlrd2="http://schemas.microsoft.com/office/spreadsheetml/2017/richdata2" ref="A2:F35">
    <sortCondition ref="F2:F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DC3ED-65F7-40A3-B5EC-38CC04D1FE2C}">
  <dimension ref="A1:I35"/>
  <sheetViews>
    <sheetView workbookViewId="0">
      <selection activeCell="I2" sqref="I2:I4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9" max="9" width="87.140625" bestFit="1" customWidth="1"/>
  </cols>
  <sheetData>
    <row r="1" spans="1:9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9" x14ac:dyDescent="0.2">
      <c r="A2" s="8" t="s">
        <v>92</v>
      </c>
      <c r="B2" s="8" t="s">
        <v>93</v>
      </c>
      <c r="C2" s="8" t="s">
        <v>94</v>
      </c>
      <c r="D2" s="8">
        <v>150</v>
      </c>
      <c r="E2" s="8">
        <v>30</v>
      </c>
      <c r="F2" s="8" t="s">
        <v>75</v>
      </c>
      <c r="H2">
        <v>1</v>
      </c>
      <c r="I2" s="10" t="s">
        <v>135</v>
      </c>
    </row>
    <row r="3" spans="1:9" x14ac:dyDescent="0.2">
      <c r="A3" s="14" t="s">
        <v>72</v>
      </c>
      <c r="B3" s="14" t="s">
        <v>73</v>
      </c>
      <c r="C3" s="14" t="s">
        <v>74</v>
      </c>
      <c r="D3" s="14">
        <v>50</v>
      </c>
      <c r="E3" s="14">
        <v>35</v>
      </c>
      <c r="F3" s="14" t="s">
        <v>75</v>
      </c>
      <c r="H3">
        <v>2</v>
      </c>
      <c r="I3" s="10" t="s">
        <v>134</v>
      </c>
    </row>
    <row r="4" spans="1:9" x14ac:dyDescent="0.2">
      <c r="A4" s="9" t="s">
        <v>72</v>
      </c>
      <c r="B4" s="9" t="s">
        <v>73</v>
      </c>
      <c r="C4" s="9" t="s">
        <v>74</v>
      </c>
      <c r="D4" s="9">
        <v>50</v>
      </c>
      <c r="E4" s="9">
        <v>35</v>
      </c>
      <c r="F4" s="9" t="s">
        <v>75</v>
      </c>
      <c r="H4">
        <v>3</v>
      </c>
      <c r="I4" s="10" t="s">
        <v>117</v>
      </c>
    </row>
    <row r="5" spans="1:9" x14ac:dyDescent="0.2">
      <c r="A5" s="9" t="s">
        <v>113</v>
      </c>
      <c r="B5" s="9" t="s">
        <v>114</v>
      </c>
      <c r="C5" s="9" t="s">
        <v>115</v>
      </c>
      <c r="D5" s="9">
        <v>100</v>
      </c>
      <c r="E5" s="9">
        <v>20</v>
      </c>
      <c r="F5" s="9" t="s">
        <v>75</v>
      </c>
    </row>
    <row r="6" spans="1:9" x14ac:dyDescent="0.2">
      <c r="A6" s="8" t="s">
        <v>86</v>
      </c>
      <c r="B6" s="8" t="s">
        <v>87</v>
      </c>
      <c r="C6" s="8" t="s">
        <v>88</v>
      </c>
      <c r="D6" s="8">
        <v>700</v>
      </c>
      <c r="E6" s="8">
        <v>50</v>
      </c>
      <c r="F6" s="8" t="s">
        <v>28</v>
      </c>
    </row>
    <row r="7" spans="1:9" x14ac:dyDescent="0.2">
      <c r="A7" s="14" t="s">
        <v>108</v>
      </c>
      <c r="B7" s="14" t="s">
        <v>93</v>
      </c>
      <c r="C7" s="14" t="s">
        <v>109</v>
      </c>
      <c r="D7" s="14">
        <v>130</v>
      </c>
      <c r="E7" s="14">
        <v>5</v>
      </c>
      <c r="F7" s="14" t="s">
        <v>28</v>
      </c>
    </row>
    <row r="8" spans="1:9" x14ac:dyDescent="0.2">
      <c r="A8" s="9" t="s">
        <v>69</v>
      </c>
      <c r="B8" s="9" t="s">
        <v>44</v>
      </c>
      <c r="C8" s="9" t="s">
        <v>71</v>
      </c>
      <c r="D8" s="9">
        <v>250</v>
      </c>
      <c r="E8" s="9">
        <v>20</v>
      </c>
      <c r="F8" s="9" t="s">
        <v>28</v>
      </c>
    </row>
    <row r="9" spans="1:9" x14ac:dyDescent="0.2">
      <c r="A9" s="9" t="s">
        <v>69</v>
      </c>
      <c r="B9" s="9" t="s">
        <v>44</v>
      </c>
      <c r="C9" s="9" t="s">
        <v>71</v>
      </c>
      <c r="D9" s="9">
        <v>250</v>
      </c>
      <c r="E9" s="9">
        <v>20</v>
      </c>
      <c r="F9" s="9" t="s">
        <v>28</v>
      </c>
    </row>
    <row r="10" spans="1:9" x14ac:dyDescent="0.2">
      <c r="A10" s="8" t="s">
        <v>43</v>
      </c>
      <c r="B10" s="8" t="s">
        <v>44</v>
      </c>
      <c r="C10" s="8" t="s">
        <v>45</v>
      </c>
      <c r="D10" s="8">
        <v>250</v>
      </c>
      <c r="E10" s="8">
        <v>45</v>
      </c>
      <c r="F10" s="8" t="s">
        <v>28</v>
      </c>
    </row>
    <row r="11" spans="1:9" x14ac:dyDescent="0.2">
      <c r="A11" s="14" t="s">
        <v>60</v>
      </c>
      <c r="B11" s="14" t="s">
        <v>61</v>
      </c>
      <c r="C11" s="14" t="s">
        <v>62</v>
      </c>
      <c r="D11" s="14">
        <v>950</v>
      </c>
      <c r="E11" s="14">
        <v>25</v>
      </c>
      <c r="F11" s="14" t="s">
        <v>28</v>
      </c>
    </row>
    <row r="12" spans="1:9" x14ac:dyDescent="0.2">
      <c r="A12" s="9" t="s">
        <v>60</v>
      </c>
      <c r="B12" s="9" t="s">
        <v>61</v>
      </c>
      <c r="C12" s="9" t="s">
        <v>62</v>
      </c>
      <c r="D12" s="9">
        <v>950</v>
      </c>
      <c r="E12" s="9">
        <v>25</v>
      </c>
      <c r="F12" s="9" t="s">
        <v>28</v>
      </c>
    </row>
    <row r="13" spans="1:9" x14ac:dyDescent="0.2">
      <c r="A13" s="9" t="s">
        <v>78</v>
      </c>
      <c r="B13" s="9" t="s">
        <v>61</v>
      </c>
      <c r="C13" s="9" t="s">
        <v>79</v>
      </c>
      <c r="D13" s="9">
        <v>980</v>
      </c>
      <c r="E13" s="9">
        <v>10</v>
      </c>
      <c r="F13" s="9" t="s">
        <v>28</v>
      </c>
    </row>
    <row r="14" spans="1:9" x14ac:dyDescent="0.2">
      <c r="A14" s="8" t="s">
        <v>25</v>
      </c>
      <c r="B14" s="8" t="s">
        <v>61</v>
      </c>
      <c r="C14" s="8" t="s">
        <v>27</v>
      </c>
      <c r="D14" s="8">
        <v>1000</v>
      </c>
      <c r="E14" s="8">
        <v>30</v>
      </c>
      <c r="F14" s="8" t="s">
        <v>28</v>
      </c>
    </row>
    <row r="15" spans="1:9" x14ac:dyDescent="0.2">
      <c r="A15" s="14" t="s">
        <v>95</v>
      </c>
      <c r="B15" s="14" t="s">
        <v>96</v>
      </c>
      <c r="C15" s="14" t="s">
        <v>97</v>
      </c>
      <c r="D15" s="14">
        <v>800</v>
      </c>
      <c r="E15" s="14">
        <v>45</v>
      </c>
      <c r="F15" s="14" t="s">
        <v>28</v>
      </c>
    </row>
    <row r="16" spans="1:9" x14ac:dyDescent="0.2">
      <c r="A16" s="9" t="s">
        <v>37</v>
      </c>
      <c r="B16" s="9" t="s">
        <v>96</v>
      </c>
      <c r="C16" s="9" t="s">
        <v>39</v>
      </c>
      <c r="D16" s="9">
        <v>900</v>
      </c>
      <c r="E16" s="9">
        <v>25</v>
      </c>
      <c r="F16" s="9" t="s">
        <v>28</v>
      </c>
    </row>
    <row r="17" spans="1:6" x14ac:dyDescent="0.2">
      <c r="A17" s="9" t="s">
        <v>66</v>
      </c>
      <c r="B17" s="9" t="s">
        <v>67</v>
      </c>
      <c r="C17" s="9" t="s">
        <v>68</v>
      </c>
      <c r="D17" s="9">
        <v>150</v>
      </c>
      <c r="E17" s="9">
        <v>15</v>
      </c>
      <c r="F17" s="9" t="s">
        <v>28</v>
      </c>
    </row>
    <row r="18" spans="1:6" x14ac:dyDescent="0.2">
      <c r="A18" s="8" t="s">
        <v>76</v>
      </c>
      <c r="B18" s="8" t="s">
        <v>67</v>
      </c>
      <c r="C18" s="8" t="s">
        <v>77</v>
      </c>
      <c r="D18" s="8">
        <v>160</v>
      </c>
      <c r="E18" s="8">
        <v>15</v>
      </c>
      <c r="F18" s="8" t="s">
        <v>28</v>
      </c>
    </row>
    <row r="19" spans="1:6" x14ac:dyDescent="0.2">
      <c r="A19" s="14" t="s">
        <v>53</v>
      </c>
      <c r="B19" s="14" t="s">
        <v>54</v>
      </c>
      <c r="C19" s="14" t="s">
        <v>55</v>
      </c>
      <c r="D19" s="14">
        <v>500</v>
      </c>
      <c r="E19" s="14">
        <v>50</v>
      </c>
      <c r="F19" s="14" t="s">
        <v>28</v>
      </c>
    </row>
    <row r="20" spans="1:6" x14ac:dyDescent="0.2">
      <c r="A20" s="9" t="s">
        <v>63</v>
      </c>
      <c r="B20" s="9" t="s">
        <v>30</v>
      </c>
      <c r="C20" s="9" t="s">
        <v>49</v>
      </c>
      <c r="D20" s="9">
        <v>90</v>
      </c>
      <c r="E20" s="9">
        <v>40</v>
      </c>
      <c r="F20" s="9" t="s">
        <v>32</v>
      </c>
    </row>
    <row r="21" spans="1:6" x14ac:dyDescent="0.2">
      <c r="A21" s="9" t="s">
        <v>102</v>
      </c>
      <c r="B21" s="9" t="s">
        <v>103</v>
      </c>
      <c r="C21" s="9" t="s">
        <v>104</v>
      </c>
      <c r="D21" s="9">
        <v>60</v>
      </c>
      <c r="E21" s="9">
        <v>30</v>
      </c>
      <c r="F21" s="9" t="s">
        <v>32</v>
      </c>
    </row>
    <row r="22" spans="1:6" x14ac:dyDescent="0.2">
      <c r="A22" s="8" t="s">
        <v>110</v>
      </c>
      <c r="B22" s="8" t="s">
        <v>111</v>
      </c>
      <c r="C22" s="8" t="s">
        <v>112</v>
      </c>
      <c r="D22" s="8">
        <v>50</v>
      </c>
      <c r="E22" s="8">
        <v>50</v>
      </c>
      <c r="F22" s="8" t="s">
        <v>32</v>
      </c>
    </row>
    <row r="23" spans="1:6" x14ac:dyDescent="0.2">
      <c r="A23" s="14" t="s">
        <v>29</v>
      </c>
      <c r="B23" s="14" t="s">
        <v>30</v>
      </c>
      <c r="C23" s="14" t="s">
        <v>31</v>
      </c>
      <c r="D23" s="14">
        <v>80</v>
      </c>
      <c r="E23" s="14">
        <v>15</v>
      </c>
      <c r="F23" s="14" t="s">
        <v>32</v>
      </c>
    </row>
    <row r="24" spans="1:6" x14ac:dyDescent="0.2">
      <c r="A24" s="9" t="s">
        <v>80</v>
      </c>
      <c r="B24" s="9" t="s">
        <v>81</v>
      </c>
      <c r="C24" s="9" t="s">
        <v>82</v>
      </c>
      <c r="D24" s="9">
        <v>150</v>
      </c>
      <c r="E24" s="9">
        <v>15</v>
      </c>
      <c r="F24" s="9" t="s">
        <v>32</v>
      </c>
    </row>
    <row r="25" spans="1:6" x14ac:dyDescent="0.2">
      <c r="A25" s="9" t="s">
        <v>98</v>
      </c>
      <c r="B25" s="9" t="s">
        <v>81</v>
      </c>
      <c r="C25" s="9" t="s">
        <v>99</v>
      </c>
      <c r="D25" s="9">
        <v>150</v>
      </c>
      <c r="E25" s="9">
        <v>25</v>
      </c>
      <c r="F25" s="9" t="s">
        <v>32</v>
      </c>
    </row>
    <row r="26" spans="1:6" x14ac:dyDescent="0.2">
      <c r="A26" s="8" t="s">
        <v>47</v>
      </c>
      <c r="B26" s="8" t="s">
        <v>116</v>
      </c>
      <c r="C26" s="8" t="s">
        <v>49</v>
      </c>
      <c r="D26" s="8">
        <v>30</v>
      </c>
      <c r="E26" s="8">
        <v>5</v>
      </c>
      <c r="F26" s="8" t="s">
        <v>32</v>
      </c>
    </row>
    <row r="27" spans="1:6" x14ac:dyDescent="0.2">
      <c r="A27" s="14" t="s">
        <v>64</v>
      </c>
      <c r="B27" s="14" t="s">
        <v>34</v>
      </c>
      <c r="C27" s="14" t="s">
        <v>65</v>
      </c>
      <c r="D27" s="14">
        <v>120</v>
      </c>
      <c r="E27" s="14">
        <v>35</v>
      </c>
      <c r="F27" s="14" t="s">
        <v>36</v>
      </c>
    </row>
    <row r="28" spans="1:6" x14ac:dyDescent="0.2">
      <c r="A28" s="9" t="s">
        <v>50</v>
      </c>
      <c r="B28" s="9" t="s">
        <v>51</v>
      </c>
      <c r="C28" s="9" t="s">
        <v>52</v>
      </c>
      <c r="D28" s="9">
        <v>90</v>
      </c>
      <c r="E28" s="9">
        <v>35</v>
      </c>
      <c r="F28" s="9" t="s">
        <v>36</v>
      </c>
    </row>
    <row r="29" spans="1:6" x14ac:dyDescent="0.2">
      <c r="A29" s="9" t="s">
        <v>100</v>
      </c>
      <c r="B29" s="9" t="s">
        <v>51</v>
      </c>
      <c r="C29" s="9" t="s">
        <v>101</v>
      </c>
      <c r="D29" s="9">
        <v>400</v>
      </c>
      <c r="E29" s="9">
        <v>40</v>
      </c>
      <c r="F29" s="9" t="s">
        <v>36</v>
      </c>
    </row>
    <row r="30" spans="1:6" x14ac:dyDescent="0.2">
      <c r="A30" s="8" t="s">
        <v>33</v>
      </c>
      <c r="B30" s="8" t="s">
        <v>34</v>
      </c>
      <c r="C30" s="8" t="s">
        <v>35</v>
      </c>
      <c r="D30" s="8">
        <v>130</v>
      </c>
      <c r="E30" s="8">
        <v>40</v>
      </c>
      <c r="F30" s="8" t="s">
        <v>36</v>
      </c>
    </row>
    <row r="31" spans="1:6" x14ac:dyDescent="0.2">
      <c r="A31" s="14" t="s">
        <v>89</v>
      </c>
      <c r="B31" s="14" t="s">
        <v>90</v>
      </c>
      <c r="C31" s="14" t="s">
        <v>91</v>
      </c>
      <c r="D31" s="14">
        <v>80</v>
      </c>
      <c r="E31" s="14">
        <v>20</v>
      </c>
      <c r="F31" s="14" t="s">
        <v>36</v>
      </c>
    </row>
    <row r="32" spans="1:6" x14ac:dyDescent="0.2">
      <c r="A32" s="9" t="s">
        <v>105</v>
      </c>
      <c r="B32" s="9" t="s">
        <v>106</v>
      </c>
      <c r="C32" s="9" t="s">
        <v>107</v>
      </c>
      <c r="D32" s="9">
        <v>40</v>
      </c>
      <c r="E32" s="9">
        <v>10</v>
      </c>
      <c r="F32" s="9" t="s">
        <v>36</v>
      </c>
    </row>
    <row r="33" spans="1:6" x14ac:dyDescent="0.2">
      <c r="A33" s="8" t="s">
        <v>40</v>
      </c>
      <c r="B33" s="8" t="s">
        <v>41</v>
      </c>
      <c r="C33" s="8" t="s">
        <v>42</v>
      </c>
      <c r="D33" s="8">
        <v>70</v>
      </c>
      <c r="E33" s="8">
        <v>20</v>
      </c>
      <c r="F33" s="8" t="s">
        <v>59</v>
      </c>
    </row>
    <row r="34" spans="1:6" x14ac:dyDescent="0.2">
      <c r="A34" s="9" t="s">
        <v>83</v>
      </c>
      <c r="B34" s="9" t="s">
        <v>84</v>
      </c>
      <c r="C34" s="9" t="s">
        <v>85</v>
      </c>
      <c r="D34" s="9">
        <v>100</v>
      </c>
      <c r="E34" s="9">
        <v>10</v>
      </c>
      <c r="F34" s="9" t="s">
        <v>59</v>
      </c>
    </row>
    <row r="35" spans="1:6" x14ac:dyDescent="0.2">
      <c r="A35" s="9" t="s">
        <v>56</v>
      </c>
      <c r="B35" s="9" t="s">
        <v>57</v>
      </c>
      <c r="C35" s="9" t="s">
        <v>58</v>
      </c>
      <c r="D35" s="9">
        <v>130</v>
      </c>
      <c r="E35" s="9">
        <v>10</v>
      </c>
      <c r="F35" s="9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4C43-796B-488E-B6AE-85471B7C324F}">
  <dimension ref="A1:I32"/>
  <sheetViews>
    <sheetView workbookViewId="0">
      <selection activeCell="I2" sqref="I2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9" max="9" width="87.140625" bestFit="1" customWidth="1"/>
  </cols>
  <sheetData>
    <row r="1" spans="1:9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9" x14ac:dyDescent="0.2">
      <c r="A2" s="8" t="s">
        <v>92</v>
      </c>
      <c r="B2" s="8" t="s">
        <v>93</v>
      </c>
      <c r="C2" s="8" t="s">
        <v>94</v>
      </c>
      <c r="D2" s="8">
        <v>150</v>
      </c>
      <c r="E2" s="8">
        <v>30</v>
      </c>
      <c r="F2" s="8" t="s">
        <v>75</v>
      </c>
      <c r="H2">
        <v>1</v>
      </c>
      <c r="I2" s="10" t="s">
        <v>123</v>
      </c>
    </row>
    <row r="3" spans="1:9" x14ac:dyDescent="0.2">
      <c r="A3" s="14" t="s">
        <v>72</v>
      </c>
      <c r="B3" s="14" t="s">
        <v>73</v>
      </c>
      <c r="C3" s="14" t="s">
        <v>74</v>
      </c>
      <c r="D3" s="14">
        <v>50</v>
      </c>
      <c r="E3" s="14">
        <v>35</v>
      </c>
      <c r="F3" s="14" t="s">
        <v>75</v>
      </c>
    </row>
    <row r="4" spans="1:9" x14ac:dyDescent="0.2">
      <c r="A4" s="9" t="s">
        <v>113</v>
      </c>
      <c r="B4" s="9" t="s">
        <v>114</v>
      </c>
      <c r="C4" s="9" t="s">
        <v>115</v>
      </c>
      <c r="D4" s="9">
        <v>100</v>
      </c>
      <c r="E4" s="9">
        <v>20</v>
      </c>
      <c r="F4" s="9" t="s">
        <v>75</v>
      </c>
      <c r="I4" s="10"/>
    </row>
    <row r="5" spans="1:9" x14ac:dyDescent="0.2">
      <c r="A5" s="9" t="s">
        <v>86</v>
      </c>
      <c r="B5" s="9" t="s">
        <v>87</v>
      </c>
      <c r="C5" s="9" t="s">
        <v>88</v>
      </c>
      <c r="D5" s="9">
        <v>700</v>
      </c>
      <c r="E5" s="9">
        <v>50</v>
      </c>
      <c r="F5" s="9" t="s">
        <v>28</v>
      </c>
    </row>
    <row r="6" spans="1:9" x14ac:dyDescent="0.2">
      <c r="A6" s="8" t="s">
        <v>108</v>
      </c>
      <c r="B6" s="8" t="s">
        <v>93</v>
      </c>
      <c r="C6" s="8" t="s">
        <v>109</v>
      </c>
      <c r="D6" s="8">
        <v>130</v>
      </c>
      <c r="E6" s="8">
        <v>5</v>
      </c>
      <c r="F6" s="8" t="s">
        <v>28</v>
      </c>
    </row>
    <row r="7" spans="1:9" x14ac:dyDescent="0.2">
      <c r="A7" s="14" t="s">
        <v>69</v>
      </c>
      <c r="B7" s="14" t="s">
        <v>44</v>
      </c>
      <c r="C7" s="14" t="s">
        <v>71</v>
      </c>
      <c r="D7" s="14">
        <v>250</v>
      </c>
      <c r="E7" s="14">
        <v>20</v>
      </c>
      <c r="F7" s="14" t="s">
        <v>28</v>
      </c>
    </row>
    <row r="8" spans="1:9" x14ac:dyDescent="0.2">
      <c r="A8" s="9" t="s">
        <v>43</v>
      </c>
      <c r="B8" s="9" t="s">
        <v>44</v>
      </c>
      <c r="C8" s="9" t="s">
        <v>45</v>
      </c>
      <c r="D8" s="9">
        <v>250</v>
      </c>
      <c r="E8" s="9">
        <v>45</v>
      </c>
      <c r="F8" s="9" t="s">
        <v>28</v>
      </c>
    </row>
    <row r="9" spans="1:9" x14ac:dyDescent="0.2">
      <c r="A9" s="9" t="s">
        <v>60</v>
      </c>
      <c r="B9" s="9" t="s">
        <v>61</v>
      </c>
      <c r="C9" s="9" t="s">
        <v>62</v>
      </c>
      <c r="D9" s="9">
        <v>950</v>
      </c>
      <c r="E9" s="9">
        <v>25</v>
      </c>
      <c r="F9" s="9" t="s">
        <v>28</v>
      </c>
    </row>
    <row r="10" spans="1:9" x14ac:dyDescent="0.2">
      <c r="A10" s="8" t="s">
        <v>78</v>
      </c>
      <c r="B10" s="8" t="s">
        <v>61</v>
      </c>
      <c r="C10" s="8" t="s">
        <v>79</v>
      </c>
      <c r="D10" s="8">
        <v>980</v>
      </c>
      <c r="E10" s="8">
        <v>10</v>
      </c>
      <c r="F10" s="8" t="s">
        <v>28</v>
      </c>
    </row>
    <row r="11" spans="1:9" x14ac:dyDescent="0.2">
      <c r="A11" s="14" t="s">
        <v>25</v>
      </c>
      <c r="B11" s="14" t="s">
        <v>61</v>
      </c>
      <c r="C11" s="14" t="s">
        <v>27</v>
      </c>
      <c r="D11" s="14">
        <v>1000</v>
      </c>
      <c r="E11" s="14">
        <v>30</v>
      </c>
      <c r="F11" s="14" t="s">
        <v>28</v>
      </c>
    </row>
    <row r="12" spans="1:9" x14ac:dyDescent="0.2">
      <c r="A12" s="9" t="s">
        <v>95</v>
      </c>
      <c r="B12" s="9" t="s">
        <v>96</v>
      </c>
      <c r="C12" s="9" t="s">
        <v>97</v>
      </c>
      <c r="D12" s="9">
        <v>800</v>
      </c>
      <c r="E12" s="9">
        <v>45</v>
      </c>
      <c r="F12" s="9" t="s">
        <v>28</v>
      </c>
    </row>
    <row r="13" spans="1:9" x14ac:dyDescent="0.2">
      <c r="A13" s="9" t="s">
        <v>37</v>
      </c>
      <c r="B13" s="9" t="s">
        <v>96</v>
      </c>
      <c r="C13" s="9" t="s">
        <v>39</v>
      </c>
      <c r="D13" s="9">
        <v>900</v>
      </c>
      <c r="E13" s="9">
        <v>25</v>
      </c>
      <c r="F13" s="9" t="s">
        <v>28</v>
      </c>
    </row>
    <row r="14" spans="1:9" x14ac:dyDescent="0.2">
      <c r="A14" s="8" t="s">
        <v>66</v>
      </c>
      <c r="B14" s="8" t="s">
        <v>67</v>
      </c>
      <c r="C14" s="8" t="s">
        <v>68</v>
      </c>
      <c r="D14" s="8">
        <v>150</v>
      </c>
      <c r="E14" s="8">
        <v>15</v>
      </c>
      <c r="F14" s="8" t="s">
        <v>28</v>
      </c>
    </row>
    <row r="15" spans="1:9" x14ac:dyDescent="0.2">
      <c r="A15" s="14" t="s">
        <v>76</v>
      </c>
      <c r="B15" s="14" t="s">
        <v>67</v>
      </c>
      <c r="C15" s="14" t="s">
        <v>77</v>
      </c>
      <c r="D15" s="14">
        <v>160</v>
      </c>
      <c r="E15" s="14">
        <v>15</v>
      </c>
      <c r="F15" s="14" t="s">
        <v>28</v>
      </c>
    </row>
    <row r="16" spans="1:9" x14ac:dyDescent="0.2">
      <c r="A16" s="9" t="s">
        <v>53</v>
      </c>
      <c r="B16" s="9" t="s">
        <v>54</v>
      </c>
      <c r="C16" s="9" t="s">
        <v>55</v>
      </c>
      <c r="D16" s="9">
        <v>500</v>
      </c>
      <c r="E16" s="9">
        <v>50</v>
      </c>
      <c r="F16" s="9" t="s">
        <v>28</v>
      </c>
    </row>
    <row r="17" spans="1:6" x14ac:dyDescent="0.2">
      <c r="A17" s="9" t="s">
        <v>63</v>
      </c>
      <c r="B17" s="9" t="s">
        <v>30</v>
      </c>
      <c r="C17" s="9" t="s">
        <v>49</v>
      </c>
      <c r="D17" s="9">
        <v>90</v>
      </c>
      <c r="E17" s="9">
        <v>40</v>
      </c>
      <c r="F17" s="9" t="s">
        <v>32</v>
      </c>
    </row>
    <row r="18" spans="1:6" x14ac:dyDescent="0.2">
      <c r="A18" s="8" t="s">
        <v>102</v>
      </c>
      <c r="B18" s="8" t="s">
        <v>103</v>
      </c>
      <c r="C18" s="8" t="s">
        <v>104</v>
      </c>
      <c r="D18" s="8">
        <v>60</v>
      </c>
      <c r="E18" s="8">
        <v>30</v>
      </c>
      <c r="F18" s="8" t="s">
        <v>32</v>
      </c>
    </row>
    <row r="19" spans="1:6" x14ac:dyDescent="0.2">
      <c r="A19" s="14" t="s">
        <v>110</v>
      </c>
      <c r="B19" s="14" t="s">
        <v>111</v>
      </c>
      <c r="C19" s="14" t="s">
        <v>112</v>
      </c>
      <c r="D19" s="14">
        <v>50</v>
      </c>
      <c r="E19" s="14">
        <v>50</v>
      </c>
      <c r="F19" s="14" t="s">
        <v>32</v>
      </c>
    </row>
    <row r="20" spans="1:6" x14ac:dyDescent="0.2">
      <c r="A20" s="9" t="s">
        <v>29</v>
      </c>
      <c r="B20" s="9" t="s">
        <v>30</v>
      </c>
      <c r="C20" s="9" t="s">
        <v>31</v>
      </c>
      <c r="D20" s="9">
        <v>80</v>
      </c>
      <c r="E20" s="9">
        <v>15</v>
      </c>
      <c r="F20" s="9" t="s">
        <v>32</v>
      </c>
    </row>
    <row r="21" spans="1:6" x14ac:dyDescent="0.2">
      <c r="A21" s="9" t="s">
        <v>80</v>
      </c>
      <c r="B21" s="9" t="s">
        <v>81</v>
      </c>
      <c r="C21" s="9" t="s">
        <v>82</v>
      </c>
      <c r="D21" s="9">
        <v>150</v>
      </c>
      <c r="E21" s="9">
        <v>15</v>
      </c>
      <c r="F21" s="9" t="s">
        <v>32</v>
      </c>
    </row>
    <row r="22" spans="1:6" x14ac:dyDescent="0.2">
      <c r="A22" s="8" t="s">
        <v>98</v>
      </c>
      <c r="B22" s="8" t="s">
        <v>81</v>
      </c>
      <c r="C22" s="8" t="s">
        <v>99</v>
      </c>
      <c r="D22" s="8">
        <v>150</v>
      </c>
      <c r="E22" s="8">
        <v>25</v>
      </c>
      <c r="F22" s="8" t="s">
        <v>32</v>
      </c>
    </row>
    <row r="23" spans="1:6" x14ac:dyDescent="0.2">
      <c r="A23" s="14" t="s">
        <v>47</v>
      </c>
      <c r="B23" s="14" t="s">
        <v>116</v>
      </c>
      <c r="C23" s="14" t="s">
        <v>49</v>
      </c>
      <c r="D23" s="14">
        <v>30</v>
      </c>
      <c r="E23" s="14">
        <v>5</v>
      </c>
      <c r="F23" s="14" t="s">
        <v>32</v>
      </c>
    </row>
    <row r="24" spans="1:6" x14ac:dyDescent="0.2">
      <c r="A24" s="9" t="s">
        <v>64</v>
      </c>
      <c r="B24" s="9" t="s">
        <v>34</v>
      </c>
      <c r="C24" s="9" t="s">
        <v>65</v>
      </c>
      <c r="D24" s="9">
        <v>120</v>
      </c>
      <c r="E24" s="9">
        <v>35</v>
      </c>
      <c r="F24" s="9" t="s">
        <v>36</v>
      </c>
    </row>
    <row r="25" spans="1:6" x14ac:dyDescent="0.2">
      <c r="A25" s="9" t="s">
        <v>50</v>
      </c>
      <c r="B25" s="9" t="s">
        <v>51</v>
      </c>
      <c r="C25" s="9" t="s">
        <v>52</v>
      </c>
      <c r="D25" s="9">
        <v>90</v>
      </c>
      <c r="E25" s="9">
        <v>35</v>
      </c>
      <c r="F25" s="9" t="s">
        <v>36</v>
      </c>
    </row>
    <row r="26" spans="1:6" x14ac:dyDescent="0.2">
      <c r="A26" s="8" t="s">
        <v>100</v>
      </c>
      <c r="B26" s="8" t="s">
        <v>51</v>
      </c>
      <c r="C26" s="8" t="s">
        <v>101</v>
      </c>
      <c r="D26" s="8">
        <v>400</v>
      </c>
      <c r="E26" s="8">
        <v>40</v>
      </c>
      <c r="F26" s="8" t="s">
        <v>36</v>
      </c>
    </row>
    <row r="27" spans="1:6" x14ac:dyDescent="0.2">
      <c r="A27" s="14" t="s">
        <v>33</v>
      </c>
      <c r="B27" s="14" t="s">
        <v>34</v>
      </c>
      <c r="C27" s="14" t="s">
        <v>35</v>
      </c>
      <c r="D27" s="14">
        <v>130</v>
      </c>
      <c r="E27" s="14">
        <v>40</v>
      </c>
      <c r="F27" s="14" t="s">
        <v>36</v>
      </c>
    </row>
    <row r="28" spans="1:6" x14ac:dyDescent="0.2">
      <c r="A28" s="9" t="s">
        <v>89</v>
      </c>
      <c r="B28" s="9" t="s">
        <v>90</v>
      </c>
      <c r="C28" s="9" t="s">
        <v>91</v>
      </c>
      <c r="D28" s="9">
        <v>80</v>
      </c>
      <c r="E28" s="9">
        <v>20</v>
      </c>
      <c r="F28" s="9" t="s">
        <v>36</v>
      </c>
    </row>
    <row r="29" spans="1:6" x14ac:dyDescent="0.2">
      <c r="A29" s="9" t="s">
        <v>105</v>
      </c>
      <c r="B29" s="9" t="s">
        <v>106</v>
      </c>
      <c r="C29" s="9" t="s">
        <v>107</v>
      </c>
      <c r="D29" s="9">
        <v>40</v>
      </c>
      <c r="E29" s="9">
        <v>10</v>
      </c>
      <c r="F29" s="9" t="s">
        <v>36</v>
      </c>
    </row>
    <row r="30" spans="1:6" x14ac:dyDescent="0.2">
      <c r="A30" s="8" t="s">
        <v>40</v>
      </c>
      <c r="B30" s="8" t="s">
        <v>41</v>
      </c>
      <c r="C30" s="8" t="s">
        <v>42</v>
      </c>
      <c r="D30" s="8">
        <v>70</v>
      </c>
      <c r="E30" s="8">
        <v>20</v>
      </c>
      <c r="F30" s="8" t="s">
        <v>59</v>
      </c>
    </row>
    <row r="31" spans="1:6" x14ac:dyDescent="0.2">
      <c r="A31" s="14" t="s">
        <v>83</v>
      </c>
      <c r="B31" s="14" t="s">
        <v>84</v>
      </c>
      <c r="C31" s="14" t="s">
        <v>85</v>
      </c>
      <c r="D31" s="14">
        <v>100</v>
      </c>
      <c r="E31" s="14">
        <v>10</v>
      </c>
      <c r="F31" s="14" t="s">
        <v>59</v>
      </c>
    </row>
    <row r="32" spans="1:6" x14ac:dyDescent="0.2">
      <c r="A32" s="9" t="s">
        <v>56</v>
      </c>
      <c r="B32" s="9" t="s">
        <v>57</v>
      </c>
      <c r="C32" s="9" t="s">
        <v>58</v>
      </c>
      <c r="D32" s="9">
        <v>130</v>
      </c>
      <c r="E32" s="9">
        <v>10</v>
      </c>
      <c r="F32" s="9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C9B5-CB8B-46AF-8515-A4134CF5705E}">
  <dimension ref="A1:L32"/>
  <sheetViews>
    <sheetView topLeftCell="C1" workbookViewId="0">
      <selection activeCell="L2" sqref="L2"/>
    </sheetView>
  </sheetViews>
  <sheetFormatPr defaultRowHeight="12.75" x14ac:dyDescent="0.2"/>
  <cols>
    <col min="1" max="1" width="10.85546875" bestFit="1" customWidth="1"/>
    <col min="2" max="2" width="19" bestFit="1" customWidth="1"/>
    <col min="3" max="3" width="13.42578125" bestFit="1" customWidth="1"/>
    <col min="4" max="4" width="14" bestFit="1" customWidth="1"/>
    <col min="5" max="5" width="12.28515625" bestFit="1" customWidth="1"/>
    <col min="6" max="6" width="20.140625" bestFit="1" customWidth="1"/>
    <col min="7" max="7" width="8.42578125" bestFit="1" customWidth="1"/>
    <col min="8" max="8" width="8.5703125" bestFit="1" customWidth="1"/>
    <col min="9" max="9" width="11.28515625" bestFit="1" customWidth="1"/>
    <col min="12" max="12" width="97.5703125" bestFit="1" customWidth="1"/>
  </cols>
  <sheetData>
    <row r="1" spans="1:12" x14ac:dyDescent="0.2">
      <c r="A1" s="7" t="s">
        <v>19</v>
      </c>
      <c r="B1" s="7" t="s">
        <v>124</v>
      </c>
      <c r="C1" s="7" t="s">
        <v>125</v>
      </c>
      <c r="D1" s="7" t="s">
        <v>20</v>
      </c>
      <c r="E1" s="7" t="s">
        <v>21</v>
      </c>
      <c r="F1" s="7" t="s">
        <v>127</v>
      </c>
      <c r="G1" s="7" t="s">
        <v>22</v>
      </c>
      <c r="H1" s="7" t="s">
        <v>23</v>
      </c>
      <c r="I1" s="7" t="s">
        <v>24</v>
      </c>
    </row>
    <row r="2" spans="1:12" x14ac:dyDescent="0.2">
      <c r="A2" s="8" t="s">
        <v>92</v>
      </c>
      <c r="B2" s="8" t="str">
        <f>MID(A2,1,2)</f>
        <v>19</v>
      </c>
      <c r="C2" s="8" t="str">
        <f>RIGHT(A2,2)</f>
        <v>BR</v>
      </c>
      <c r="D2" s="8" t="s">
        <v>93</v>
      </c>
      <c r="E2" s="8" t="s">
        <v>94</v>
      </c>
      <c r="F2" s="8" t="str">
        <f>CONCATENATE(E2&amp;" "&amp;D2)</f>
        <v>Xiaomi Fitness Tracker</v>
      </c>
      <c r="G2" s="8">
        <v>150</v>
      </c>
      <c r="H2" s="8">
        <v>30</v>
      </c>
      <c r="I2" s="8" t="s">
        <v>75</v>
      </c>
      <c r="K2">
        <v>1</v>
      </c>
      <c r="L2" s="10" t="s">
        <v>126</v>
      </c>
    </row>
    <row r="3" spans="1:12" x14ac:dyDescent="0.2">
      <c r="A3" s="9" t="s">
        <v>72</v>
      </c>
      <c r="B3" s="9" t="str">
        <f t="shared" ref="B3:B32" si="0">MID(A3,1,2)</f>
        <v>21</v>
      </c>
      <c r="C3" s="9" t="str">
        <f t="shared" ref="C3:C32" si="1">RIGHT(A3,2)</f>
        <v>CA</v>
      </c>
      <c r="D3" s="9" t="s">
        <v>73</v>
      </c>
      <c r="E3" s="9" t="s">
        <v>74</v>
      </c>
      <c r="F3" s="9" t="str">
        <f t="shared" ref="F3:F32" si="2">CONCATENATE(E3&amp;" "&amp;D3)</f>
        <v>Samsonite Laptop Bag</v>
      </c>
      <c r="G3" s="9">
        <v>50</v>
      </c>
      <c r="H3" s="9">
        <v>35</v>
      </c>
      <c r="I3" s="9" t="s">
        <v>75</v>
      </c>
      <c r="K3">
        <v>2</v>
      </c>
      <c r="L3" s="10" t="s">
        <v>133</v>
      </c>
    </row>
    <row r="4" spans="1:12" x14ac:dyDescent="0.2">
      <c r="A4" s="9" t="s">
        <v>113</v>
      </c>
      <c r="B4" s="9" t="str">
        <f t="shared" si="0"/>
        <v>09</v>
      </c>
      <c r="C4" s="9" t="str">
        <f t="shared" si="1"/>
        <v>FR</v>
      </c>
      <c r="D4" s="9" t="s">
        <v>114</v>
      </c>
      <c r="E4" s="9" t="s">
        <v>115</v>
      </c>
      <c r="F4" s="9" t="str">
        <f t="shared" si="2"/>
        <v>Casio Watch</v>
      </c>
      <c r="G4" s="9">
        <v>100</v>
      </c>
      <c r="H4" s="9">
        <v>20</v>
      </c>
      <c r="I4" s="9" t="s">
        <v>75</v>
      </c>
      <c r="K4">
        <v>3</v>
      </c>
      <c r="L4" s="10" t="s">
        <v>128</v>
      </c>
    </row>
    <row r="5" spans="1:12" x14ac:dyDescent="0.2">
      <c r="A5" s="8" t="s">
        <v>86</v>
      </c>
      <c r="B5" s="8" t="str">
        <f t="shared" si="0"/>
        <v>14</v>
      </c>
      <c r="C5" s="8" t="str">
        <f t="shared" si="1"/>
        <v>RU</v>
      </c>
      <c r="D5" s="8" t="s">
        <v>87</v>
      </c>
      <c r="E5" s="8" t="s">
        <v>88</v>
      </c>
      <c r="F5" s="8" t="str">
        <f t="shared" si="2"/>
        <v>Nikon Camera</v>
      </c>
      <c r="G5" s="8">
        <v>700</v>
      </c>
      <c r="H5" s="8">
        <v>50</v>
      </c>
      <c r="I5" s="8" t="s">
        <v>28</v>
      </c>
    </row>
    <row r="6" spans="1:12" x14ac:dyDescent="0.2">
      <c r="A6" s="8" t="s">
        <v>108</v>
      </c>
      <c r="B6" s="8" t="str">
        <f t="shared" si="0"/>
        <v>24</v>
      </c>
      <c r="C6" s="8" t="str">
        <f t="shared" si="1"/>
        <v>CA</v>
      </c>
      <c r="D6" s="8" t="s">
        <v>93</v>
      </c>
      <c r="E6" s="8" t="s">
        <v>109</v>
      </c>
      <c r="F6" s="8" t="str">
        <f t="shared" si="2"/>
        <v>Garmin Fitness Tracker</v>
      </c>
      <c r="G6" s="8">
        <v>130</v>
      </c>
      <c r="H6" s="8">
        <v>5</v>
      </c>
      <c r="I6" s="8" t="s">
        <v>28</v>
      </c>
    </row>
    <row r="7" spans="1:12" x14ac:dyDescent="0.2">
      <c r="A7" s="8" t="s">
        <v>69</v>
      </c>
      <c r="B7" s="8" t="str">
        <f t="shared" si="0"/>
        <v>16</v>
      </c>
      <c r="C7" s="8" t="str">
        <f t="shared" si="1"/>
        <v>ES</v>
      </c>
      <c r="D7" s="8" t="s">
        <v>44</v>
      </c>
      <c r="E7" s="8" t="s">
        <v>71</v>
      </c>
      <c r="F7" s="8" t="str">
        <f t="shared" si="2"/>
        <v>Bose Headphones</v>
      </c>
      <c r="G7" s="8">
        <v>250</v>
      </c>
      <c r="H7" s="8">
        <v>20</v>
      </c>
      <c r="I7" s="8" t="s">
        <v>28</v>
      </c>
    </row>
    <row r="8" spans="1:12" x14ac:dyDescent="0.2">
      <c r="A8" s="9" t="s">
        <v>43</v>
      </c>
      <c r="B8" s="9" t="str">
        <f t="shared" si="0"/>
        <v>07</v>
      </c>
      <c r="C8" s="9" t="str">
        <f t="shared" si="1"/>
        <v>UK</v>
      </c>
      <c r="D8" s="9" t="s">
        <v>44</v>
      </c>
      <c r="E8" s="9" t="s">
        <v>45</v>
      </c>
      <c r="F8" s="9" t="str">
        <f t="shared" si="2"/>
        <v>Sony Headphones</v>
      </c>
      <c r="G8" s="9">
        <v>250</v>
      </c>
      <c r="H8" s="9">
        <v>45</v>
      </c>
      <c r="I8" s="9" t="s">
        <v>28</v>
      </c>
    </row>
    <row r="9" spans="1:12" x14ac:dyDescent="0.2">
      <c r="A9" s="8" t="s">
        <v>60</v>
      </c>
      <c r="B9" s="8" t="str">
        <f t="shared" si="0"/>
        <v>17</v>
      </c>
      <c r="C9" s="8" t="str">
        <f t="shared" si="1"/>
        <v>IN</v>
      </c>
      <c r="D9" s="8" t="s">
        <v>61</v>
      </c>
      <c r="E9" s="8" t="s">
        <v>62</v>
      </c>
      <c r="F9" s="8" t="str">
        <f t="shared" si="2"/>
        <v>HP Laptop</v>
      </c>
      <c r="G9" s="8">
        <v>950</v>
      </c>
      <c r="H9" s="8">
        <v>25</v>
      </c>
      <c r="I9" s="8" t="s">
        <v>28</v>
      </c>
    </row>
    <row r="10" spans="1:12" x14ac:dyDescent="0.2">
      <c r="A10" s="9" t="s">
        <v>78</v>
      </c>
      <c r="B10" s="9" t="str">
        <f t="shared" si="0"/>
        <v>27</v>
      </c>
      <c r="C10" s="9" t="str">
        <f t="shared" si="1"/>
        <v>IT</v>
      </c>
      <c r="D10" s="9" t="s">
        <v>61</v>
      </c>
      <c r="E10" s="9" t="s">
        <v>79</v>
      </c>
      <c r="F10" s="9" t="str">
        <f t="shared" si="2"/>
        <v>Asus Laptop</v>
      </c>
      <c r="G10" s="9">
        <v>980</v>
      </c>
      <c r="H10" s="9">
        <v>10</v>
      </c>
      <c r="I10" s="9" t="s">
        <v>28</v>
      </c>
    </row>
    <row r="11" spans="1:12" x14ac:dyDescent="0.2">
      <c r="A11" s="8" t="s">
        <v>25</v>
      </c>
      <c r="B11" s="8" t="str">
        <f t="shared" si="0"/>
        <v>28</v>
      </c>
      <c r="C11" s="8" t="str">
        <f t="shared" si="1"/>
        <v>US</v>
      </c>
      <c r="D11" s="8" t="s">
        <v>61</v>
      </c>
      <c r="E11" s="8" t="s">
        <v>27</v>
      </c>
      <c r="F11" s="8" t="str">
        <f t="shared" si="2"/>
        <v>Dell Laptop</v>
      </c>
      <c r="G11" s="8">
        <v>1000</v>
      </c>
      <c r="H11" s="8">
        <v>30</v>
      </c>
      <c r="I11" s="8" t="s">
        <v>28</v>
      </c>
    </row>
    <row r="12" spans="1:12" x14ac:dyDescent="0.2">
      <c r="A12" s="8" t="s">
        <v>95</v>
      </c>
      <c r="B12" s="8" t="str">
        <f t="shared" si="0"/>
        <v>29</v>
      </c>
      <c r="C12" s="8" t="str">
        <f t="shared" si="1"/>
        <v>CA</v>
      </c>
      <c r="D12" s="8" t="s">
        <v>96</v>
      </c>
      <c r="E12" s="8" t="s">
        <v>97</v>
      </c>
      <c r="F12" s="8" t="str">
        <f t="shared" si="2"/>
        <v>Google Smartphone</v>
      </c>
      <c r="G12" s="8">
        <v>800</v>
      </c>
      <c r="H12" s="8">
        <v>45</v>
      </c>
      <c r="I12" s="8" t="s">
        <v>28</v>
      </c>
    </row>
    <row r="13" spans="1:12" x14ac:dyDescent="0.2">
      <c r="A13" s="9" t="s">
        <v>37</v>
      </c>
      <c r="B13" s="9" t="str">
        <f t="shared" si="0"/>
        <v>11</v>
      </c>
      <c r="C13" s="9" t="str">
        <f t="shared" si="1"/>
        <v>US</v>
      </c>
      <c r="D13" s="9" t="s">
        <v>96</v>
      </c>
      <c r="E13" s="9" t="s">
        <v>39</v>
      </c>
      <c r="F13" s="9" t="str">
        <f t="shared" si="2"/>
        <v>Samsung Smartphone</v>
      </c>
      <c r="G13" s="9">
        <v>900</v>
      </c>
      <c r="H13" s="9">
        <v>25</v>
      </c>
      <c r="I13" s="9" t="s">
        <v>28</v>
      </c>
    </row>
    <row r="14" spans="1:12" x14ac:dyDescent="0.2">
      <c r="A14" s="9" t="s">
        <v>66</v>
      </c>
      <c r="B14" s="9" t="str">
        <f t="shared" si="0"/>
        <v>18</v>
      </c>
      <c r="C14" s="9" t="str">
        <f t="shared" si="1"/>
        <v>CA</v>
      </c>
      <c r="D14" s="9" t="s">
        <v>67</v>
      </c>
      <c r="E14" s="9" t="s">
        <v>68</v>
      </c>
      <c r="F14" s="9" t="str">
        <f t="shared" si="2"/>
        <v>Fitbit Smartwatch</v>
      </c>
      <c r="G14" s="9">
        <v>150</v>
      </c>
      <c r="H14" s="9">
        <v>15</v>
      </c>
      <c r="I14" s="9" t="s">
        <v>28</v>
      </c>
    </row>
    <row r="15" spans="1:12" x14ac:dyDescent="0.2">
      <c r="A15" s="8" t="s">
        <v>76</v>
      </c>
      <c r="B15" s="8" t="str">
        <f t="shared" si="0"/>
        <v>20</v>
      </c>
      <c r="C15" s="8" t="str">
        <f t="shared" si="1"/>
        <v>CN</v>
      </c>
      <c r="D15" s="8" t="s">
        <v>67</v>
      </c>
      <c r="E15" s="8" t="s">
        <v>77</v>
      </c>
      <c r="F15" s="8" t="str">
        <f t="shared" si="2"/>
        <v>Huawei Smartwatch</v>
      </c>
      <c r="G15" s="8">
        <v>160</v>
      </c>
      <c r="H15" s="8">
        <v>15</v>
      </c>
      <c r="I15" s="8" t="s">
        <v>28</v>
      </c>
    </row>
    <row r="16" spans="1:12" x14ac:dyDescent="0.2">
      <c r="A16" s="8" t="s">
        <v>53</v>
      </c>
      <c r="B16" s="8" t="str">
        <f t="shared" si="0"/>
        <v>05</v>
      </c>
      <c r="C16" s="8" t="str">
        <f t="shared" si="1"/>
        <v>UK</v>
      </c>
      <c r="D16" s="8" t="s">
        <v>54</v>
      </c>
      <c r="E16" s="8" t="s">
        <v>55</v>
      </c>
      <c r="F16" s="8" t="str">
        <f t="shared" si="2"/>
        <v>Apple Tablet</v>
      </c>
      <c r="G16" s="8">
        <v>500</v>
      </c>
      <c r="H16" s="8">
        <v>50</v>
      </c>
      <c r="I16" s="8" t="s">
        <v>28</v>
      </c>
    </row>
    <row r="17" spans="1:9" x14ac:dyDescent="0.2">
      <c r="A17" s="9" t="s">
        <v>63</v>
      </c>
      <c r="B17" s="9" t="str">
        <f t="shared" si="0"/>
        <v>25</v>
      </c>
      <c r="C17" s="9" t="str">
        <f t="shared" si="1"/>
        <v>AU</v>
      </c>
      <c r="D17" s="9" t="s">
        <v>30</v>
      </c>
      <c r="E17" s="9" t="s">
        <v>49</v>
      </c>
      <c r="F17" s="9" t="str">
        <f t="shared" si="2"/>
        <v>Adidas Sneakers</v>
      </c>
      <c r="G17" s="9">
        <v>90</v>
      </c>
      <c r="H17" s="9">
        <v>40</v>
      </c>
      <c r="I17" s="9" t="s">
        <v>32</v>
      </c>
    </row>
    <row r="18" spans="1:9" x14ac:dyDescent="0.2">
      <c r="A18" s="8" t="s">
        <v>102</v>
      </c>
      <c r="B18" s="8" t="str">
        <f t="shared" si="0"/>
        <v>07</v>
      </c>
      <c r="C18" s="8" t="str">
        <f t="shared" si="1"/>
        <v>CA</v>
      </c>
      <c r="D18" s="8" t="s">
        <v>103</v>
      </c>
      <c r="E18" s="8" t="s">
        <v>104</v>
      </c>
      <c r="F18" s="8" t="str">
        <f t="shared" si="2"/>
        <v>Zara Dress</v>
      </c>
      <c r="G18" s="8">
        <v>60</v>
      </c>
      <c r="H18" s="8">
        <v>30</v>
      </c>
      <c r="I18" s="8" t="s">
        <v>32</v>
      </c>
    </row>
    <row r="19" spans="1:9" x14ac:dyDescent="0.2">
      <c r="A19" s="9" t="s">
        <v>110</v>
      </c>
      <c r="B19" s="9" t="str">
        <f t="shared" si="0"/>
        <v>02</v>
      </c>
      <c r="C19" s="9" t="str">
        <f t="shared" si="1"/>
        <v>CA</v>
      </c>
      <c r="D19" s="9" t="s">
        <v>111</v>
      </c>
      <c r="E19" s="9" t="s">
        <v>112</v>
      </c>
      <c r="F19" s="9" t="str">
        <f t="shared" si="2"/>
        <v>Levi's Jeans</v>
      </c>
      <c r="G19" s="9">
        <v>50</v>
      </c>
      <c r="H19" s="9">
        <v>50</v>
      </c>
      <c r="I19" s="9" t="s">
        <v>32</v>
      </c>
    </row>
    <row r="20" spans="1:9" x14ac:dyDescent="0.2">
      <c r="A20" s="9" t="s">
        <v>29</v>
      </c>
      <c r="B20" s="9" t="str">
        <f t="shared" si="0"/>
        <v>15</v>
      </c>
      <c r="C20" s="9" t="str">
        <f t="shared" si="1"/>
        <v>US</v>
      </c>
      <c r="D20" s="9" t="s">
        <v>30</v>
      </c>
      <c r="E20" s="9" t="s">
        <v>31</v>
      </c>
      <c r="F20" s="9" t="str">
        <f t="shared" si="2"/>
        <v>Nike Sneakers</v>
      </c>
      <c r="G20" s="9">
        <v>80</v>
      </c>
      <c r="H20" s="9">
        <v>15</v>
      </c>
      <c r="I20" s="9" t="s">
        <v>32</v>
      </c>
    </row>
    <row r="21" spans="1:9" x14ac:dyDescent="0.2">
      <c r="A21" s="8" t="s">
        <v>80</v>
      </c>
      <c r="B21" s="8" t="str">
        <f t="shared" si="0"/>
        <v>01</v>
      </c>
      <c r="C21" s="8" t="str">
        <f t="shared" si="1"/>
        <v>UK</v>
      </c>
      <c r="D21" s="8" t="s">
        <v>81</v>
      </c>
      <c r="E21" s="8" t="s">
        <v>82</v>
      </c>
      <c r="F21" s="8" t="str">
        <f t="shared" si="2"/>
        <v>Oakley Sunglasses</v>
      </c>
      <c r="G21" s="8">
        <v>150</v>
      </c>
      <c r="H21" s="8">
        <v>15</v>
      </c>
      <c r="I21" s="8" t="s">
        <v>32</v>
      </c>
    </row>
    <row r="22" spans="1:9" x14ac:dyDescent="0.2">
      <c r="A22" s="9" t="s">
        <v>98</v>
      </c>
      <c r="B22" s="9" t="str">
        <f t="shared" si="0"/>
        <v>03</v>
      </c>
      <c r="C22" s="9" t="str">
        <f t="shared" si="1"/>
        <v>CA</v>
      </c>
      <c r="D22" s="9" t="s">
        <v>81</v>
      </c>
      <c r="E22" s="9" t="s">
        <v>99</v>
      </c>
      <c r="F22" s="9" t="str">
        <f t="shared" si="2"/>
        <v>Ray-Ban Sunglasses</v>
      </c>
      <c r="G22" s="9">
        <v>150</v>
      </c>
      <c r="H22" s="9">
        <v>25</v>
      </c>
      <c r="I22" s="9" t="s">
        <v>32</v>
      </c>
    </row>
    <row r="23" spans="1:9" x14ac:dyDescent="0.2">
      <c r="A23" s="8" t="s">
        <v>47</v>
      </c>
      <c r="B23" s="8" t="str">
        <f t="shared" si="0"/>
        <v>19</v>
      </c>
      <c r="C23" s="8" t="str">
        <f t="shared" si="1"/>
        <v>UK</v>
      </c>
      <c r="D23" s="8" t="s">
        <v>116</v>
      </c>
      <c r="E23" s="8" t="s">
        <v>49</v>
      </c>
      <c r="F23" s="8" t="str">
        <f t="shared" si="2"/>
        <v>Adidas T-Shirt</v>
      </c>
      <c r="G23" s="8">
        <v>30</v>
      </c>
      <c r="H23" s="8">
        <v>5</v>
      </c>
      <c r="I23" s="8" t="s">
        <v>32</v>
      </c>
    </row>
    <row r="24" spans="1:9" x14ac:dyDescent="0.2">
      <c r="A24" s="8" t="s">
        <v>64</v>
      </c>
      <c r="B24" s="8" t="str">
        <f t="shared" si="0"/>
        <v>08</v>
      </c>
      <c r="C24" s="8" t="str">
        <f t="shared" si="1"/>
        <v>DE</v>
      </c>
      <c r="D24" s="8" t="s">
        <v>34</v>
      </c>
      <c r="E24" s="8" t="s">
        <v>65</v>
      </c>
      <c r="F24" s="8" t="str">
        <f t="shared" si="2"/>
        <v>Nespresso Coffee Maker</v>
      </c>
      <c r="G24" s="8">
        <v>120</v>
      </c>
      <c r="H24" s="8">
        <v>35</v>
      </c>
      <c r="I24" s="8" t="s">
        <v>36</v>
      </c>
    </row>
    <row r="25" spans="1:9" x14ac:dyDescent="0.2">
      <c r="A25" s="9" t="s">
        <v>50</v>
      </c>
      <c r="B25" s="9" t="str">
        <f t="shared" si="0"/>
        <v>23</v>
      </c>
      <c r="C25" s="9" t="str">
        <f t="shared" si="1"/>
        <v>UK</v>
      </c>
      <c r="D25" s="9" t="s">
        <v>51</v>
      </c>
      <c r="E25" s="9" t="s">
        <v>52</v>
      </c>
      <c r="F25" s="9" t="str">
        <f t="shared" si="2"/>
        <v>Ninja Blender</v>
      </c>
      <c r="G25" s="9">
        <v>90</v>
      </c>
      <c r="H25" s="9">
        <v>35</v>
      </c>
      <c r="I25" s="9" t="s">
        <v>36</v>
      </c>
    </row>
    <row r="26" spans="1:9" x14ac:dyDescent="0.2">
      <c r="A26" s="8" t="s">
        <v>100</v>
      </c>
      <c r="B26" s="8" t="str">
        <f t="shared" si="0"/>
        <v>11</v>
      </c>
      <c r="C26" s="8" t="str">
        <f t="shared" si="1"/>
        <v>CA</v>
      </c>
      <c r="D26" s="8" t="s">
        <v>51</v>
      </c>
      <c r="E26" s="8" t="s">
        <v>101</v>
      </c>
      <c r="F26" s="8" t="str">
        <f t="shared" si="2"/>
        <v>Vitamix Blender</v>
      </c>
      <c r="G26" s="8">
        <v>400</v>
      </c>
      <c r="H26" s="8">
        <v>40</v>
      </c>
      <c r="I26" s="8" t="s">
        <v>36</v>
      </c>
    </row>
    <row r="27" spans="1:9" x14ac:dyDescent="0.2">
      <c r="A27" s="8" t="s">
        <v>33</v>
      </c>
      <c r="B27" s="8" t="str">
        <f t="shared" si="0"/>
        <v>03</v>
      </c>
      <c r="C27" s="8" t="str">
        <f t="shared" si="1"/>
        <v>US</v>
      </c>
      <c r="D27" s="8" t="s">
        <v>34</v>
      </c>
      <c r="E27" s="8" t="s">
        <v>35</v>
      </c>
      <c r="F27" s="8" t="str">
        <f t="shared" si="2"/>
        <v>Keurig Coffee Maker</v>
      </c>
      <c r="G27" s="8">
        <v>130</v>
      </c>
      <c r="H27" s="8">
        <v>40</v>
      </c>
      <c r="I27" s="8" t="s">
        <v>36</v>
      </c>
    </row>
    <row r="28" spans="1:9" x14ac:dyDescent="0.2">
      <c r="A28" s="9" t="s">
        <v>89</v>
      </c>
      <c r="B28" s="9" t="str">
        <f t="shared" si="0"/>
        <v>09</v>
      </c>
      <c r="C28" s="9" t="str">
        <f t="shared" si="1"/>
        <v>CA</v>
      </c>
      <c r="D28" s="9" t="s">
        <v>90</v>
      </c>
      <c r="E28" s="9" t="s">
        <v>91</v>
      </c>
      <c r="F28" s="9" t="str">
        <f t="shared" si="2"/>
        <v>Panasonic Microwave</v>
      </c>
      <c r="G28" s="9">
        <v>80</v>
      </c>
      <c r="H28" s="9">
        <v>20</v>
      </c>
      <c r="I28" s="9" t="s">
        <v>36</v>
      </c>
    </row>
    <row r="29" spans="1:9" x14ac:dyDescent="0.2">
      <c r="A29" s="9" t="s">
        <v>105</v>
      </c>
      <c r="B29" s="9" t="str">
        <f t="shared" si="0"/>
        <v>13</v>
      </c>
      <c r="C29" s="9" t="str">
        <f t="shared" si="1"/>
        <v>CA</v>
      </c>
      <c r="D29" s="9" t="s">
        <v>106</v>
      </c>
      <c r="E29" s="9" t="s">
        <v>107</v>
      </c>
      <c r="F29" s="9" t="str">
        <f t="shared" si="2"/>
        <v>Hamilton Toaster</v>
      </c>
      <c r="G29" s="9">
        <v>40</v>
      </c>
      <c r="H29" s="9">
        <v>10</v>
      </c>
      <c r="I29" s="9" t="s">
        <v>36</v>
      </c>
    </row>
    <row r="30" spans="1:9" x14ac:dyDescent="0.2">
      <c r="A30" s="8" t="s">
        <v>40</v>
      </c>
      <c r="B30" s="8" t="str">
        <f t="shared" si="0"/>
        <v>22</v>
      </c>
      <c r="C30" s="8" t="str">
        <f t="shared" si="1"/>
        <v>US</v>
      </c>
      <c r="D30" s="8" t="s">
        <v>41</v>
      </c>
      <c r="E30" s="8" t="s">
        <v>42</v>
      </c>
      <c r="F30" s="8" t="str">
        <f t="shared" si="2"/>
        <v>North Face Backpack</v>
      </c>
      <c r="G30" s="8">
        <v>70</v>
      </c>
      <c r="H30" s="8">
        <v>20</v>
      </c>
      <c r="I30" s="8" t="s">
        <v>59</v>
      </c>
    </row>
    <row r="31" spans="1:9" x14ac:dyDescent="0.2">
      <c r="A31" s="9" t="s">
        <v>83</v>
      </c>
      <c r="B31" s="9" t="str">
        <f t="shared" si="0"/>
        <v>14</v>
      </c>
      <c r="C31" s="9" t="str">
        <f t="shared" si="1"/>
        <v>US</v>
      </c>
      <c r="D31" s="9" t="s">
        <v>84</v>
      </c>
      <c r="E31" s="9" t="s">
        <v>85</v>
      </c>
      <c r="F31" s="9" t="str">
        <f t="shared" si="2"/>
        <v>Coleman Camping Tent</v>
      </c>
      <c r="G31" s="9">
        <v>100</v>
      </c>
      <c r="H31" s="9">
        <v>10</v>
      </c>
      <c r="I31" s="9" t="s">
        <v>59</v>
      </c>
    </row>
    <row r="32" spans="1:9" x14ac:dyDescent="0.2">
      <c r="A32" s="9" t="s">
        <v>56</v>
      </c>
      <c r="B32" s="9" t="str">
        <f t="shared" si="0"/>
        <v>14</v>
      </c>
      <c r="C32" s="9" t="str">
        <f t="shared" si="1"/>
        <v>UK</v>
      </c>
      <c r="D32" s="9" t="s">
        <v>57</v>
      </c>
      <c r="E32" s="9" t="s">
        <v>58</v>
      </c>
      <c r="F32" s="9" t="str">
        <f t="shared" si="2"/>
        <v>Timberland Hiking Boots</v>
      </c>
      <c r="G32" s="9">
        <v>130</v>
      </c>
      <c r="H32" s="9">
        <v>10</v>
      </c>
      <c r="I32" s="9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DA4C-0E43-4647-B9ED-F0B979BFD989}">
  <dimension ref="A1:L32"/>
  <sheetViews>
    <sheetView workbookViewId="0">
      <selection activeCell="L2" sqref="L2"/>
    </sheetView>
  </sheetViews>
  <sheetFormatPr defaultRowHeight="12.75" x14ac:dyDescent="0.2"/>
  <cols>
    <col min="1" max="1" width="10.85546875" bestFit="1" customWidth="1"/>
    <col min="2" max="2" width="19" style="23" bestFit="1" customWidth="1"/>
    <col min="3" max="3" width="14" bestFit="1" customWidth="1"/>
    <col min="4" max="4" width="12.28515625" bestFit="1" customWidth="1"/>
    <col min="5" max="5" width="21.7109375" bestFit="1" customWidth="1"/>
    <col min="6" max="6" width="9.7109375" style="19" bestFit="1" customWidth="1"/>
    <col min="7" max="7" width="8.5703125" bestFit="1" customWidth="1"/>
    <col min="8" max="8" width="11.28515625" bestFit="1" customWidth="1"/>
  </cols>
  <sheetData>
    <row r="1" spans="1:12" x14ac:dyDescent="0.2">
      <c r="A1" s="7" t="s">
        <v>19</v>
      </c>
      <c r="B1" s="20" t="s">
        <v>124</v>
      </c>
      <c r="C1" s="7" t="s">
        <v>20</v>
      </c>
      <c r="D1" s="7" t="s">
        <v>21</v>
      </c>
      <c r="E1" s="7" t="s">
        <v>127</v>
      </c>
      <c r="F1" s="16" t="s">
        <v>22</v>
      </c>
      <c r="G1" s="7" t="s">
        <v>23</v>
      </c>
      <c r="H1" s="7" t="s">
        <v>24</v>
      </c>
    </row>
    <row r="2" spans="1:12" x14ac:dyDescent="0.2">
      <c r="A2" s="8" t="s">
        <v>92</v>
      </c>
      <c r="B2" s="21">
        <v>46222</v>
      </c>
      <c r="C2" s="8" t="s">
        <v>93</v>
      </c>
      <c r="D2" s="8" t="s">
        <v>94</v>
      </c>
      <c r="E2" s="8" t="str">
        <f>CONCATENATE(D2&amp;" "&amp;C2)</f>
        <v>Xiaomi Fitness Tracker</v>
      </c>
      <c r="F2" s="17">
        <v>150</v>
      </c>
      <c r="G2" s="8">
        <v>30</v>
      </c>
      <c r="H2" s="8" t="s">
        <v>75</v>
      </c>
      <c r="K2">
        <v>1</v>
      </c>
      <c r="L2" s="10" t="s">
        <v>132</v>
      </c>
    </row>
    <row r="3" spans="1:12" x14ac:dyDescent="0.2">
      <c r="A3" s="9" t="s">
        <v>72</v>
      </c>
      <c r="B3" s="22">
        <v>46255</v>
      </c>
      <c r="C3" s="9" t="s">
        <v>73</v>
      </c>
      <c r="D3" s="9" t="s">
        <v>74</v>
      </c>
      <c r="E3" s="9" t="str">
        <f t="shared" ref="E3:E32" si="0">CONCATENATE(D3&amp;" "&amp;C3)</f>
        <v>Samsonite Laptop Bag</v>
      </c>
      <c r="F3" s="18">
        <v>50</v>
      </c>
      <c r="G3" s="9">
        <v>35</v>
      </c>
      <c r="H3" s="9" t="s">
        <v>75</v>
      </c>
      <c r="K3">
        <v>2</v>
      </c>
      <c r="L3" s="10" t="s">
        <v>129</v>
      </c>
    </row>
    <row r="4" spans="1:12" x14ac:dyDescent="0.2">
      <c r="A4" s="9" t="s">
        <v>113</v>
      </c>
      <c r="B4" s="22">
        <v>46212</v>
      </c>
      <c r="C4" s="9" t="s">
        <v>114</v>
      </c>
      <c r="D4" s="9" t="s">
        <v>115</v>
      </c>
      <c r="E4" s="9" t="str">
        <f t="shared" si="0"/>
        <v>Casio Watch</v>
      </c>
      <c r="F4" s="18">
        <v>100</v>
      </c>
      <c r="G4" s="9">
        <v>20</v>
      </c>
      <c r="H4" s="9" t="s">
        <v>75</v>
      </c>
    </row>
    <row r="5" spans="1:12" x14ac:dyDescent="0.2">
      <c r="A5" s="8" t="s">
        <v>86</v>
      </c>
      <c r="B5" s="21">
        <v>46156</v>
      </c>
      <c r="C5" s="8" t="s">
        <v>87</v>
      </c>
      <c r="D5" s="8" t="s">
        <v>88</v>
      </c>
      <c r="E5" s="8" t="str">
        <f t="shared" si="0"/>
        <v>Nikon Camera</v>
      </c>
      <c r="F5" s="17">
        <v>700</v>
      </c>
      <c r="G5" s="8">
        <v>50</v>
      </c>
      <c r="H5" s="8" t="s">
        <v>28</v>
      </c>
    </row>
    <row r="6" spans="1:12" x14ac:dyDescent="0.2">
      <c r="A6" s="8" t="s">
        <v>108</v>
      </c>
      <c r="B6" s="21">
        <v>46166</v>
      </c>
      <c r="C6" s="8" t="s">
        <v>93</v>
      </c>
      <c r="D6" s="8" t="s">
        <v>109</v>
      </c>
      <c r="E6" s="8" t="str">
        <f t="shared" si="0"/>
        <v>Garmin Fitness Tracker</v>
      </c>
      <c r="F6" s="17">
        <v>130</v>
      </c>
      <c r="G6" s="8">
        <v>5</v>
      </c>
      <c r="H6" s="8" t="s">
        <v>28</v>
      </c>
    </row>
    <row r="7" spans="1:12" x14ac:dyDescent="0.2">
      <c r="A7" s="8" t="s">
        <v>69</v>
      </c>
      <c r="B7" s="21">
        <v>46128</v>
      </c>
      <c r="C7" s="8" t="s">
        <v>44</v>
      </c>
      <c r="D7" s="8" t="s">
        <v>71</v>
      </c>
      <c r="E7" s="8" t="str">
        <f t="shared" si="0"/>
        <v>Bose Headphones</v>
      </c>
      <c r="F7" s="17">
        <v>250</v>
      </c>
      <c r="G7" s="8">
        <v>20</v>
      </c>
      <c r="H7" s="8" t="s">
        <v>28</v>
      </c>
    </row>
    <row r="8" spans="1:12" x14ac:dyDescent="0.2">
      <c r="A8" s="9" t="s">
        <v>43</v>
      </c>
      <c r="B8" s="22">
        <v>46180</v>
      </c>
      <c r="C8" s="9" t="s">
        <v>44</v>
      </c>
      <c r="D8" s="9" t="s">
        <v>45</v>
      </c>
      <c r="E8" s="9" t="str">
        <f t="shared" si="0"/>
        <v>Sony Headphones</v>
      </c>
      <c r="F8" s="18">
        <v>250</v>
      </c>
      <c r="G8" s="9">
        <v>45</v>
      </c>
      <c r="H8" s="9" t="s">
        <v>28</v>
      </c>
    </row>
    <row r="9" spans="1:12" x14ac:dyDescent="0.2">
      <c r="A9" s="8" t="s">
        <v>60</v>
      </c>
      <c r="B9" s="21">
        <v>46190</v>
      </c>
      <c r="C9" s="8" t="s">
        <v>61</v>
      </c>
      <c r="D9" s="8" t="s">
        <v>62</v>
      </c>
      <c r="E9" s="8" t="str">
        <f t="shared" si="0"/>
        <v>HP Laptop</v>
      </c>
      <c r="F9" s="17">
        <v>950</v>
      </c>
      <c r="G9" s="8">
        <v>25</v>
      </c>
      <c r="H9" s="8" t="s">
        <v>28</v>
      </c>
    </row>
    <row r="10" spans="1:12" x14ac:dyDescent="0.2">
      <c r="A10" s="9" t="s">
        <v>78</v>
      </c>
      <c r="B10" s="22">
        <v>46049</v>
      </c>
      <c r="C10" s="9" t="s">
        <v>61</v>
      </c>
      <c r="D10" s="9" t="s">
        <v>79</v>
      </c>
      <c r="E10" s="9" t="str">
        <f t="shared" si="0"/>
        <v>Asus Laptop</v>
      </c>
      <c r="F10" s="18">
        <v>980</v>
      </c>
      <c r="G10" s="9">
        <v>10</v>
      </c>
      <c r="H10" s="9" t="s">
        <v>28</v>
      </c>
    </row>
    <row r="11" spans="1:12" x14ac:dyDescent="0.2">
      <c r="A11" s="8" t="s">
        <v>25</v>
      </c>
      <c r="B11" s="21">
        <v>46050</v>
      </c>
      <c r="C11" s="8" t="s">
        <v>61</v>
      </c>
      <c r="D11" s="8" t="s">
        <v>27</v>
      </c>
      <c r="E11" s="8" t="str">
        <f t="shared" si="0"/>
        <v>Dell Laptop</v>
      </c>
      <c r="F11" s="17">
        <v>1000</v>
      </c>
      <c r="G11" s="8">
        <v>30</v>
      </c>
      <c r="H11" s="8" t="s">
        <v>28</v>
      </c>
    </row>
    <row r="12" spans="1:12" x14ac:dyDescent="0.2">
      <c r="A12" s="8" t="s">
        <v>95</v>
      </c>
      <c r="B12" s="21">
        <v>46294</v>
      </c>
      <c r="C12" s="8" t="s">
        <v>96</v>
      </c>
      <c r="D12" s="8" t="s">
        <v>97</v>
      </c>
      <c r="E12" s="8" t="str">
        <f t="shared" si="0"/>
        <v>Google Smartphone</v>
      </c>
      <c r="F12" s="17">
        <v>800</v>
      </c>
      <c r="G12" s="8">
        <v>45</v>
      </c>
      <c r="H12" s="8" t="s">
        <v>28</v>
      </c>
    </row>
    <row r="13" spans="1:12" x14ac:dyDescent="0.2">
      <c r="A13" s="9" t="s">
        <v>37</v>
      </c>
      <c r="B13" s="22">
        <v>46123</v>
      </c>
      <c r="C13" s="9" t="s">
        <v>96</v>
      </c>
      <c r="D13" s="9" t="s">
        <v>39</v>
      </c>
      <c r="E13" s="9" t="str">
        <f t="shared" si="0"/>
        <v>Samsung Smartphone</v>
      </c>
      <c r="F13" s="18">
        <v>900</v>
      </c>
      <c r="G13" s="9">
        <v>25</v>
      </c>
      <c r="H13" s="9" t="s">
        <v>28</v>
      </c>
    </row>
    <row r="14" spans="1:12" x14ac:dyDescent="0.2">
      <c r="A14" s="9" t="s">
        <v>66</v>
      </c>
      <c r="B14" s="22">
        <v>46071</v>
      </c>
      <c r="C14" s="9" t="s">
        <v>67</v>
      </c>
      <c r="D14" s="9" t="s">
        <v>68</v>
      </c>
      <c r="E14" s="9" t="str">
        <f t="shared" si="0"/>
        <v>Fitbit Smartwatch</v>
      </c>
      <c r="F14" s="18">
        <v>150</v>
      </c>
      <c r="G14" s="9">
        <v>15</v>
      </c>
      <c r="H14" s="9" t="s">
        <v>28</v>
      </c>
    </row>
    <row r="15" spans="1:12" x14ac:dyDescent="0.2">
      <c r="A15" s="8" t="s">
        <v>76</v>
      </c>
      <c r="B15" s="21">
        <v>46254</v>
      </c>
      <c r="C15" s="8" t="s">
        <v>67</v>
      </c>
      <c r="D15" s="8" t="s">
        <v>77</v>
      </c>
      <c r="E15" s="8" t="str">
        <f t="shared" si="0"/>
        <v>Huawei Smartwatch</v>
      </c>
      <c r="F15" s="17">
        <v>160</v>
      </c>
      <c r="G15" s="8">
        <v>15</v>
      </c>
      <c r="H15" s="8" t="s">
        <v>28</v>
      </c>
    </row>
    <row r="16" spans="1:12" x14ac:dyDescent="0.2">
      <c r="A16" s="8" t="s">
        <v>53</v>
      </c>
      <c r="B16" s="21">
        <v>46270</v>
      </c>
      <c r="C16" s="8" t="s">
        <v>54</v>
      </c>
      <c r="D16" s="8" t="s">
        <v>55</v>
      </c>
      <c r="E16" s="8" t="str">
        <f t="shared" si="0"/>
        <v>Apple Tablet</v>
      </c>
      <c r="F16" s="17">
        <v>500</v>
      </c>
      <c r="G16" s="8">
        <v>50</v>
      </c>
      <c r="H16" s="8" t="s">
        <v>28</v>
      </c>
    </row>
    <row r="17" spans="1:8" x14ac:dyDescent="0.2">
      <c r="A17" s="9" t="s">
        <v>63</v>
      </c>
      <c r="B17" s="22">
        <v>46351</v>
      </c>
      <c r="C17" s="9" t="s">
        <v>30</v>
      </c>
      <c r="D17" s="9" t="s">
        <v>49</v>
      </c>
      <c r="E17" s="9" t="str">
        <f t="shared" si="0"/>
        <v>Adidas Sneakers</v>
      </c>
      <c r="F17" s="18">
        <v>90</v>
      </c>
      <c r="G17" s="9">
        <v>40</v>
      </c>
      <c r="H17" s="9" t="s">
        <v>32</v>
      </c>
    </row>
    <row r="18" spans="1:8" x14ac:dyDescent="0.2">
      <c r="A18" s="8" t="s">
        <v>102</v>
      </c>
      <c r="B18" s="21">
        <v>46088</v>
      </c>
      <c r="C18" s="8" t="s">
        <v>103</v>
      </c>
      <c r="D18" s="8" t="s">
        <v>104</v>
      </c>
      <c r="E18" s="8" t="str">
        <f t="shared" si="0"/>
        <v>Zara Dress</v>
      </c>
      <c r="F18" s="17">
        <v>60</v>
      </c>
      <c r="G18" s="8">
        <v>30</v>
      </c>
      <c r="H18" s="8" t="s">
        <v>32</v>
      </c>
    </row>
    <row r="19" spans="1:8" x14ac:dyDescent="0.2">
      <c r="A19" s="9" t="s">
        <v>110</v>
      </c>
      <c r="B19" s="22">
        <v>46358</v>
      </c>
      <c r="C19" s="9" t="s">
        <v>111</v>
      </c>
      <c r="D19" s="9" t="s">
        <v>112</v>
      </c>
      <c r="E19" s="9" t="str">
        <f t="shared" si="0"/>
        <v>Levi's Jeans</v>
      </c>
      <c r="F19" s="18">
        <v>50</v>
      </c>
      <c r="G19" s="9">
        <v>50</v>
      </c>
      <c r="H19" s="9" t="s">
        <v>32</v>
      </c>
    </row>
    <row r="20" spans="1:8" x14ac:dyDescent="0.2">
      <c r="A20" s="9" t="s">
        <v>29</v>
      </c>
      <c r="B20" s="22">
        <v>46068</v>
      </c>
      <c r="C20" s="9" t="s">
        <v>30</v>
      </c>
      <c r="D20" s="9" t="s">
        <v>31</v>
      </c>
      <c r="E20" s="9" t="str">
        <f t="shared" si="0"/>
        <v>Nike Sneakers</v>
      </c>
      <c r="F20" s="18">
        <v>80</v>
      </c>
      <c r="G20" s="9">
        <v>15</v>
      </c>
      <c r="H20" s="9" t="s">
        <v>32</v>
      </c>
    </row>
    <row r="21" spans="1:8" x14ac:dyDescent="0.2">
      <c r="A21" s="8" t="s">
        <v>80</v>
      </c>
      <c r="B21" s="21">
        <v>46082</v>
      </c>
      <c r="C21" s="8" t="s">
        <v>81</v>
      </c>
      <c r="D21" s="8" t="s">
        <v>82</v>
      </c>
      <c r="E21" s="8" t="str">
        <f t="shared" si="0"/>
        <v>Oakley Sunglasses</v>
      </c>
      <c r="F21" s="17">
        <v>150</v>
      </c>
      <c r="G21" s="8">
        <v>15</v>
      </c>
      <c r="H21" s="8" t="s">
        <v>32</v>
      </c>
    </row>
    <row r="22" spans="1:8" x14ac:dyDescent="0.2">
      <c r="A22" s="9" t="s">
        <v>98</v>
      </c>
      <c r="B22" s="22">
        <v>46176</v>
      </c>
      <c r="C22" s="9" t="s">
        <v>81</v>
      </c>
      <c r="D22" s="9" t="s">
        <v>99</v>
      </c>
      <c r="E22" s="9" t="str">
        <f t="shared" si="0"/>
        <v>Ray-Ban Sunglasses</v>
      </c>
      <c r="F22" s="18">
        <v>150</v>
      </c>
      <c r="G22" s="9">
        <v>25</v>
      </c>
      <c r="H22" s="9" t="s">
        <v>32</v>
      </c>
    </row>
    <row r="23" spans="1:8" x14ac:dyDescent="0.2">
      <c r="A23" s="8" t="s">
        <v>47</v>
      </c>
      <c r="B23" s="21">
        <v>46222</v>
      </c>
      <c r="C23" s="8" t="s">
        <v>116</v>
      </c>
      <c r="D23" s="8" t="s">
        <v>49</v>
      </c>
      <c r="E23" s="8" t="str">
        <f t="shared" si="0"/>
        <v>Adidas T-Shirt</v>
      </c>
      <c r="F23" s="17">
        <v>30</v>
      </c>
      <c r="G23" s="8">
        <v>5</v>
      </c>
      <c r="H23" s="8" t="s">
        <v>32</v>
      </c>
    </row>
    <row r="24" spans="1:8" x14ac:dyDescent="0.2">
      <c r="A24" s="8" t="s">
        <v>64</v>
      </c>
      <c r="B24" s="21">
        <v>46364</v>
      </c>
      <c r="C24" s="8" t="s">
        <v>34</v>
      </c>
      <c r="D24" s="8" t="s">
        <v>65</v>
      </c>
      <c r="E24" s="8" t="str">
        <f t="shared" si="0"/>
        <v>Nespresso Coffee Maker</v>
      </c>
      <c r="F24" s="17">
        <v>120</v>
      </c>
      <c r="G24" s="8">
        <v>35</v>
      </c>
      <c r="H24" s="8" t="s">
        <v>36</v>
      </c>
    </row>
    <row r="25" spans="1:8" x14ac:dyDescent="0.2">
      <c r="A25" s="9" t="s">
        <v>50</v>
      </c>
      <c r="B25" s="22">
        <v>46257</v>
      </c>
      <c r="C25" s="9" t="s">
        <v>51</v>
      </c>
      <c r="D25" s="9" t="s">
        <v>52</v>
      </c>
      <c r="E25" s="9" t="str">
        <f t="shared" si="0"/>
        <v>Ninja Blender</v>
      </c>
      <c r="F25" s="18">
        <v>90</v>
      </c>
      <c r="G25" s="9">
        <v>35</v>
      </c>
      <c r="H25" s="9" t="s">
        <v>36</v>
      </c>
    </row>
    <row r="26" spans="1:8" x14ac:dyDescent="0.2">
      <c r="A26" s="8" t="s">
        <v>100</v>
      </c>
      <c r="B26" s="21">
        <v>46214</v>
      </c>
      <c r="C26" s="8" t="s">
        <v>51</v>
      </c>
      <c r="D26" s="8" t="s">
        <v>101</v>
      </c>
      <c r="E26" s="8" t="str">
        <f t="shared" si="0"/>
        <v>Vitamix Blender</v>
      </c>
      <c r="F26" s="17">
        <v>400</v>
      </c>
      <c r="G26" s="8">
        <v>40</v>
      </c>
      <c r="H26" s="8" t="s">
        <v>36</v>
      </c>
    </row>
    <row r="27" spans="1:8" x14ac:dyDescent="0.2">
      <c r="A27" s="8" t="s">
        <v>33</v>
      </c>
      <c r="B27" s="21">
        <v>46084</v>
      </c>
      <c r="C27" s="8" t="s">
        <v>34</v>
      </c>
      <c r="D27" s="8" t="s">
        <v>35</v>
      </c>
      <c r="E27" s="8" t="str">
        <f t="shared" si="0"/>
        <v>Keurig Coffee Maker</v>
      </c>
      <c r="F27" s="17">
        <v>130</v>
      </c>
      <c r="G27" s="8">
        <v>40</v>
      </c>
      <c r="H27" s="8" t="s">
        <v>36</v>
      </c>
    </row>
    <row r="28" spans="1:8" x14ac:dyDescent="0.2">
      <c r="A28" s="9" t="s">
        <v>89</v>
      </c>
      <c r="B28" s="22">
        <v>46031</v>
      </c>
      <c r="C28" s="9" t="s">
        <v>90</v>
      </c>
      <c r="D28" s="9" t="s">
        <v>91</v>
      </c>
      <c r="E28" s="9" t="str">
        <f t="shared" si="0"/>
        <v>Panasonic Microwave</v>
      </c>
      <c r="F28" s="18">
        <v>80</v>
      </c>
      <c r="G28" s="9">
        <v>20</v>
      </c>
      <c r="H28" s="9" t="s">
        <v>36</v>
      </c>
    </row>
    <row r="29" spans="1:8" x14ac:dyDescent="0.2">
      <c r="A29" s="9" t="s">
        <v>105</v>
      </c>
      <c r="B29" s="22">
        <v>46125</v>
      </c>
      <c r="C29" s="9" t="s">
        <v>106</v>
      </c>
      <c r="D29" s="9" t="s">
        <v>107</v>
      </c>
      <c r="E29" s="9" t="str">
        <f t="shared" si="0"/>
        <v>Hamilton Toaster</v>
      </c>
      <c r="F29" s="18">
        <v>40</v>
      </c>
      <c r="G29" s="9">
        <v>10</v>
      </c>
      <c r="H29" s="9" t="s">
        <v>36</v>
      </c>
    </row>
    <row r="30" spans="1:8" x14ac:dyDescent="0.2">
      <c r="A30" s="8" t="s">
        <v>40</v>
      </c>
      <c r="B30" s="21">
        <v>46164</v>
      </c>
      <c r="C30" s="8" t="s">
        <v>41</v>
      </c>
      <c r="D30" s="8" t="s">
        <v>42</v>
      </c>
      <c r="E30" s="8" t="str">
        <f t="shared" si="0"/>
        <v>North Face Backpack</v>
      </c>
      <c r="F30" s="17">
        <v>70</v>
      </c>
      <c r="G30" s="8">
        <v>20</v>
      </c>
      <c r="H30" s="8" t="s">
        <v>59</v>
      </c>
    </row>
    <row r="31" spans="1:8" x14ac:dyDescent="0.2">
      <c r="A31" s="9" t="s">
        <v>83</v>
      </c>
      <c r="B31" s="22">
        <v>46248</v>
      </c>
      <c r="C31" s="9" t="s">
        <v>84</v>
      </c>
      <c r="D31" s="9" t="s">
        <v>85</v>
      </c>
      <c r="E31" s="9" t="str">
        <f t="shared" si="0"/>
        <v>Coleman Camping Tent</v>
      </c>
      <c r="F31" s="18">
        <v>100</v>
      </c>
      <c r="G31" s="9">
        <v>10</v>
      </c>
      <c r="H31" s="9" t="s">
        <v>59</v>
      </c>
    </row>
    <row r="32" spans="1:8" x14ac:dyDescent="0.2">
      <c r="A32" s="9" t="s">
        <v>56</v>
      </c>
      <c r="B32" s="22">
        <v>46309</v>
      </c>
      <c r="C32" s="9" t="s">
        <v>57</v>
      </c>
      <c r="D32" s="9" t="s">
        <v>58</v>
      </c>
      <c r="E32" s="9" t="str">
        <f t="shared" si="0"/>
        <v>Timberland Hiking Boots</v>
      </c>
      <c r="F32" s="18">
        <v>130</v>
      </c>
      <c r="G32" s="9">
        <v>10</v>
      </c>
      <c r="H32" s="9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A8AD-18C4-4795-8111-878FA179FBF4}">
  <dimension ref="A1:I32"/>
  <sheetViews>
    <sheetView workbookViewId="0">
      <selection activeCell="I2" sqref="I2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9.7109375" style="19" bestFit="1" customWidth="1"/>
    <col min="5" max="5" width="8.5703125" bestFit="1" customWidth="1"/>
    <col min="6" max="6" width="11.28515625" bestFit="1" customWidth="1"/>
    <col min="9" max="9" width="87.140625" bestFit="1" customWidth="1"/>
  </cols>
  <sheetData>
    <row r="1" spans="1:9" x14ac:dyDescent="0.2">
      <c r="A1" s="7" t="s">
        <v>19</v>
      </c>
      <c r="B1" s="7" t="s">
        <v>20</v>
      </c>
      <c r="C1" s="7" t="s">
        <v>21</v>
      </c>
      <c r="D1" s="16" t="s">
        <v>22</v>
      </c>
      <c r="E1" s="7" t="s">
        <v>23</v>
      </c>
      <c r="F1" s="7" t="s">
        <v>24</v>
      </c>
    </row>
    <row r="2" spans="1:9" x14ac:dyDescent="0.2">
      <c r="A2" s="8" t="s">
        <v>92</v>
      </c>
      <c r="B2" s="8" t="s">
        <v>93</v>
      </c>
      <c r="C2" s="8" t="s">
        <v>94</v>
      </c>
      <c r="D2" s="17">
        <v>150</v>
      </c>
      <c r="E2" s="8">
        <v>30</v>
      </c>
      <c r="F2" s="8" t="s">
        <v>75</v>
      </c>
      <c r="H2">
        <v>1</v>
      </c>
      <c r="I2" s="10" t="s">
        <v>131</v>
      </c>
    </row>
    <row r="3" spans="1:9" x14ac:dyDescent="0.2">
      <c r="A3" s="14" t="s">
        <v>72</v>
      </c>
      <c r="B3" s="14" t="s">
        <v>73</v>
      </c>
      <c r="C3" s="14" t="s">
        <v>74</v>
      </c>
      <c r="D3" s="24">
        <v>50</v>
      </c>
      <c r="E3" s="14">
        <v>35</v>
      </c>
      <c r="F3" s="14" t="s">
        <v>75</v>
      </c>
      <c r="H3">
        <v>2</v>
      </c>
      <c r="I3" s="10" t="s">
        <v>130</v>
      </c>
    </row>
    <row r="4" spans="1:9" x14ac:dyDescent="0.2">
      <c r="A4" s="9" t="s">
        <v>113</v>
      </c>
      <c r="B4" s="9" t="s">
        <v>114</v>
      </c>
      <c r="C4" s="9" t="s">
        <v>115</v>
      </c>
      <c r="D4" s="18">
        <v>100</v>
      </c>
      <c r="E4" s="9">
        <v>20</v>
      </c>
      <c r="F4" s="9" t="s">
        <v>75</v>
      </c>
      <c r="I4" s="10"/>
    </row>
    <row r="5" spans="1:9" x14ac:dyDescent="0.2">
      <c r="A5" s="9" t="s">
        <v>86</v>
      </c>
      <c r="B5" s="9" t="s">
        <v>87</v>
      </c>
      <c r="C5" s="9" t="s">
        <v>88</v>
      </c>
      <c r="D5" s="18">
        <v>700</v>
      </c>
      <c r="E5" s="9">
        <v>50</v>
      </c>
      <c r="F5" s="9" t="s">
        <v>28</v>
      </c>
    </row>
    <row r="6" spans="1:9" x14ac:dyDescent="0.2">
      <c r="A6" s="8" t="s">
        <v>108</v>
      </c>
      <c r="B6" s="8" t="s">
        <v>93</v>
      </c>
      <c r="C6" s="8" t="s">
        <v>109</v>
      </c>
      <c r="D6" s="17">
        <v>130</v>
      </c>
      <c r="E6" s="8">
        <v>5</v>
      </c>
      <c r="F6" s="8" t="s">
        <v>28</v>
      </c>
    </row>
    <row r="7" spans="1:9" x14ac:dyDescent="0.2">
      <c r="A7" s="14" t="s">
        <v>69</v>
      </c>
      <c r="B7" s="14" t="s">
        <v>44</v>
      </c>
      <c r="C7" s="14" t="s">
        <v>71</v>
      </c>
      <c r="D7" s="24">
        <v>250</v>
      </c>
      <c r="E7" s="14">
        <v>20</v>
      </c>
      <c r="F7" s="14" t="s">
        <v>28</v>
      </c>
    </row>
    <row r="8" spans="1:9" x14ac:dyDescent="0.2">
      <c r="A8" s="9" t="s">
        <v>43</v>
      </c>
      <c r="B8" s="9" t="s">
        <v>44</v>
      </c>
      <c r="C8" s="9" t="s">
        <v>45</v>
      </c>
      <c r="D8" s="18">
        <v>250</v>
      </c>
      <c r="E8" s="9">
        <v>45</v>
      </c>
      <c r="F8" s="9" t="s">
        <v>28</v>
      </c>
    </row>
    <row r="9" spans="1:9" x14ac:dyDescent="0.2">
      <c r="A9" s="9" t="s">
        <v>60</v>
      </c>
      <c r="B9" s="9" t="s">
        <v>61</v>
      </c>
      <c r="C9" s="9" t="s">
        <v>62</v>
      </c>
      <c r="D9" s="18">
        <v>950</v>
      </c>
      <c r="E9" s="9">
        <v>25</v>
      </c>
      <c r="F9" s="9" t="s">
        <v>28</v>
      </c>
    </row>
    <row r="10" spans="1:9" x14ac:dyDescent="0.2">
      <c r="A10" s="8" t="s">
        <v>78</v>
      </c>
      <c r="B10" s="8" t="s">
        <v>61</v>
      </c>
      <c r="C10" s="8" t="s">
        <v>79</v>
      </c>
      <c r="D10" s="17">
        <v>980</v>
      </c>
      <c r="E10" s="8">
        <v>10</v>
      </c>
      <c r="F10" s="8" t="s">
        <v>28</v>
      </c>
    </row>
    <row r="11" spans="1:9" x14ac:dyDescent="0.2">
      <c r="A11" s="14" t="s">
        <v>25</v>
      </c>
      <c r="B11" s="14" t="s">
        <v>61</v>
      </c>
      <c r="C11" s="14" t="s">
        <v>27</v>
      </c>
      <c r="D11" s="24">
        <v>1000</v>
      </c>
      <c r="E11" s="14">
        <v>30</v>
      </c>
      <c r="F11" s="14" t="s">
        <v>28</v>
      </c>
    </row>
    <row r="12" spans="1:9" x14ac:dyDescent="0.2">
      <c r="A12" s="9" t="s">
        <v>95</v>
      </c>
      <c r="B12" s="9" t="s">
        <v>96</v>
      </c>
      <c r="C12" s="9" t="s">
        <v>97</v>
      </c>
      <c r="D12" s="18">
        <v>800</v>
      </c>
      <c r="E12" s="9">
        <v>45</v>
      </c>
      <c r="F12" s="9" t="s">
        <v>28</v>
      </c>
    </row>
    <row r="13" spans="1:9" x14ac:dyDescent="0.2">
      <c r="A13" s="9" t="s">
        <v>37</v>
      </c>
      <c r="B13" s="9" t="s">
        <v>96</v>
      </c>
      <c r="C13" s="9" t="s">
        <v>39</v>
      </c>
      <c r="D13" s="18">
        <v>900</v>
      </c>
      <c r="E13" s="9">
        <v>25</v>
      </c>
      <c r="F13" s="9" t="s">
        <v>28</v>
      </c>
    </row>
    <row r="14" spans="1:9" x14ac:dyDescent="0.2">
      <c r="A14" s="8" t="s">
        <v>66</v>
      </c>
      <c r="B14" s="8" t="s">
        <v>67</v>
      </c>
      <c r="C14" s="8" t="s">
        <v>68</v>
      </c>
      <c r="D14" s="17">
        <v>150</v>
      </c>
      <c r="E14" s="8">
        <v>15</v>
      </c>
      <c r="F14" s="8" t="s">
        <v>28</v>
      </c>
    </row>
    <row r="15" spans="1:9" x14ac:dyDescent="0.2">
      <c r="A15" s="14" t="s">
        <v>76</v>
      </c>
      <c r="B15" s="14" t="s">
        <v>67</v>
      </c>
      <c r="C15" s="14" t="s">
        <v>77</v>
      </c>
      <c r="D15" s="24">
        <v>160</v>
      </c>
      <c r="E15" s="14">
        <v>15</v>
      </c>
      <c r="F15" s="14" t="s">
        <v>28</v>
      </c>
    </row>
    <row r="16" spans="1:9" x14ac:dyDescent="0.2">
      <c r="A16" s="9" t="s">
        <v>53</v>
      </c>
      <c r="B16" s="9" t="s">
        <v>54</v>
      </c>
      <c r="C16" s="9" t="s">
        <v>55</v>
      </c>
      <c r="D16" s="18">
        <v>500</v>
      </c>
      <c r="E16" s="9">
        <v>50</v>
      </c>
      <c r="F16" s="9" t="s">
        <v>28</v>
      </c>
    </row>
    <row r="17" spans="1:6" x14ac:dyDescent="0.2">
      <c r="A17" s="9" t="s">
        <v>63</v>
      </c>
      <c r="B17" s="9" t="s">
        <v>30</v>
      </c>
      <c r="C17" s="9" t="s">
        <v>49</v>
      </c>
      <c r="D17" s="18">
        <v>90</v>
      </c>
      <c r="E17" s="9">
        <v>40</v>
      </c>
      <c r="F17" s="9" t="s">
        <v>32</v>
      </c>
    </row>
    <row r="18" spans="1:6" x14ac:dyDescent="0.2">
      <c r="A18" s="8" t="s">
        <v>102</v>
      </c>
      <c r="B18" s="8" t="s">
        <v>103</v>
      </c>
      <c r="C18" s="8" t="s">
        <v>104</v>
      </c>
      <c r="D18" s="17">
        <v>60</v>
      </c>
      <c r="E18" s="8">
        <v>30</v>
      </c>
      <c r="F18" s="8" t="s">
        <v>32</v>
      </c>
    </row>
    <row r="19" spans="1:6" x14ac:dyDescent="0.2">
      <c r="A19" s="14" t="s">
        <v>110</v>
      </c>
      <c r="B19" s="14" t="s">
        <v>111</v>
      </c>
      <c r="C19" s="14" t="s">
        <v>112</v>
      </c>
      <c r="D19" s="24">
        <v>50</v>
      </c>
      <c r="E19" s="14">
        <v>50</v>
      </c>
      <c r="F19" s="14" t="s">
        <v>32</v>
      </c>
    </row>
    <row r="20" spans="1:6" x14ac:dyDescent="0.2">
      <c r="A20" s="9" t="s">
        <v>29</v>
      </c>
      <c r="B20" s="9" t="s">
        <v>30</v>
      </c>
      <c r="C20" s="9" t="s">
        <v>31</v>
      </c>
      <c r="D20" s="18">
        <v>80</v>
      </c>
      <c r="E20" s="9">
        <v>15</v>
      </c>
      <c r="F20" s="9" t="s">
        <v>32</v>
      </c>
    </row>
    <row r="21" spans="1:6" x14ac:dyDescent="0.2">
      <c r="A21" s="9" t="s">
        <v>80</v>
      </c>
      <c r="B21" s="9" t="s">
        <v>81</v>
      </c>
      <c r="C21" s="9" t="s">
        <v>82</v>
      </c>
      <c r="D21" s="18">
        <v>150</v>
      </c>
      <c r="E21" s="9">
        <v>15</v>
      </c>
      <c r="F21" s="9" t="s">
        <v>32</v>
      </c>
    </row>
    <row r="22" spans="1:6" x14ac:dyDescent="0.2">
      <c r="A22" s="8" t="s">
        <v>98</v>
      </c>
      <c r="B22" s="8" t="s">
        <v>81</v>
      </c>
      <c r="C22" s="8" t="s">
        <v>99</v>
      </c>
      <c r="D22" s="17">
        <v>150</v>
      </c>
      <c r="E22" s="8">
        <v>25</v>
      </c>
      <c r="F22" s="8" t="s">
        <v>32</v>
      </c>
    </row>
    <row r="23" spans="1:6" x14ac:dyDescent="0.2">
      <c r="A23" s="14" t="s">
        <v>47</v>
      </c>
      <c r="B23" s="14" t="s">
        <v>116</v>
      </c>
      <c r="C23" s="14" t="s">
        <v>49</v>
      </c>
      <c r="D23" s="24">
        <v>30</v>
      </c>
      <c r="E23" s="14">
        <v>5</v>
      </c>
      <c r="F23" s="14" t="s">
        <v>32</v>
      </c>
    </row>
    <row r="24" spans="1:6" x14ac:dyDescent="0.2">
      <c r="A24" s="9" t="s">
        <v>64</v>
      </c>
      <c r="B24" s="9" t="s">
        <v>34</v>
      </c>
      <c r="C24" s="9" t="s">
        <v>65</v>
      </c>
      <c r="D24" s="18">
        <v>120</v>
      </c>
      <c r="E24" s="9">
        <v>35</v>
      </c>
      <c r="F24" s="9" t="s">
        <v>36</v>
      </c>
    </row>
    <row r="25" spans="1:6" x14ac:dyDescent="0.2">
      <c r="A25" s="9" t="s">
        <v>50</v>
      </c>
      <c r="B25" s="9" t="s">
        <v>51</v>
      </c>
      <c r="C25" s="9" t="s">
        <v>52</v>
      </c>
      <c r="D25" s="18">
        <v>90</v>
      </c>
      <c r="E25" s="9">
        <v>35</v>
      </c>
      <c r="F25" s="9" t="s">
        <v>36</v>
      </c>
    </row>
    <row r="26" spans="1:6" x14ac:dyDescent="0.2">
      <c r="A26" s="8" t="s">
        <v>100</v>
      </c>
      <c r="B26" s="8" t="s">
        <v>51</v>
      </c>
      <c r="C26" s="8" t="s">
        <v>101</v>
      </c>
      <c r="D26" s="17">
        <v>400</v>
      </c>
      <c r="E26" s="8">
        <v>40</v>
      </c>
      <c r="F26" s="8" t="s">
        <v>36</v>
      </c>
    </row>
    <row r="27" spans="1:6" x14ac:dyDescent="0.2">
      <c r="A27" s="14" t="s">
        <v>33</v>
      </c>
      <c r="B27" s="14" t="s">
        <v>34</v>
      </c>
      <c r="C27" s="14" t="s">
        <v>35</v>
      </c>
      <c r="D27" s="24">
        <v>130</v>
      </c>
      <c r="E27" s="14">
        <v>40</v>
      </c>
      <c r="F27" s="14" t="s">
        <v>36</v>
      </c>
    </row>
    <row r="28" spans="1:6" x14ac:dyDescent="0.2">
      <c r="A28" s="9" t="s">
        <v>89</v>
      </c>
      <c r="B28" s="9" t="s">
        <v>90</v>
      </c>
      <c r="C28" s="9" t="s">
        <v>91</v>
      </c>
      <c r="D28" s="18">
        <v>80</v>
      </c>
      <c r="E28" s="9">
        <v>20</v>
      </c>
      <c r="F28" s="9" t="s">
        <v>36</v>
      </c>
    </row>
    <row r="29" spans="1:6" x14ac:dyDescent="0.2">
      <c r="A29" s="9" t="s">
        <v>105</v>
      </c>
      <c r="B29" s="9" t="s">
        <v>106</v>
      </c>
      <c r="C29" s="9" t="s">
        <v>107</v>
      </c>
      <c r="D29" s="18">
        <v>40</v>
      </c>
      <c r="E29" s="9">
        <v>10</v>
      </c>
      <c r="F29" s="9" t="s">
        <v>36</v>
      </c>
    </row>
    <row r="30" spans="1:6" x14ac:dyDescent="0.2">
      <c r="A30" s="8" t="s">
        <v>40</v>
      </c>
      <c r="B30" s="8" t="s">
        <v>41</v>
      </c>
      <c r="C30" s="8" t="s">
        <v>42</v>
      </c>
      <c r="D30" s="17">
        <v>70</v>
      </c>
      <c r="E30" s="8">
        <v>20</v>
      </c>
      <c r="F30" s="8" t="s">
        <v>59</v>
      </c>
    </row>
    <row r="31" spans="1:6" x14ac:dyDescent="0.2">
      <c r="A31" s="14" t="s">
        <v>83</v>
      </c>
      <c r="B31" s="14" t="s">
        <v>84</v>
      </c>
      <c r="C31" s="14" t="s">
        <v>85</v>
      </c>
      <c r="D31" s="24">
        <v>100</v>
      </c>
      <c r="E31" s="14">
        <v>10</v>
      </c>
      <c r="F31" s="14" t="s">
        <v>59</v>
      </c>
    </row>
    <row r="32" spans="1:6" x14ac:dyDescent="0.2">
      <c r="A32" s="9" t="s">
        <v>56</v>
      </c>
      <c r="B32" s="9" t="s">
        <v>57</v>
      </c>
      <c r="C32" s="9" t="s">
        <v>58</v>
      </c>
      <c r="D32" s="18">
        <v>130</v>
      </c>
      <c r="E32" s="9">
        <v>10</v>
      </c>
      <c r="F32" s="9" t="s">
        <v>59</v>
      </c>
    </row>
  </sheetData>
  <conditionalFormatting sqref="D1:D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{C0A0C54B-2F8E-48BF-8444-F768B6182B8A}</x14:id>
        </ext>
      </extLst>
    </cfRule>
  </conditionalFormatting>
  <conditionalFormatting sqref="F1:F1048576">
    <cfRule type="containsText" dxfId="0" priority="2" operator="containsText" text="Electronics">
      <formula>NOT(ISERROR(SEARCH("Electronics",F1)))</formula>
    </cfRule>
    <cfRule type="containsText" dxfId="1" priority="1" operator="containsText" text="Electronics">
      <formula>NOT(ISERROR(SEARCH("Electronics",F1)))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A0C54B-2F8E-48BF-8444-F768B6182B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Handling Missing Values </vt:lpstr>
      <vt:lpstr>Correcting Inconsistent Data</vt:lpstr>
      <vt:lpstr>Removing Duplicates</vt:lpstr>
      <vt:lpstr>Splitting and Merging Data </vt:lpstr>
      <vt:lpstr>Number Formatting </vt:lpstr>
      <vt:lpstr>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N A</cp:lastModifiedBy>
  <dcterms:modified xsi:type="dcterms:W3CDTF">2026-09-24T18:08:42Z</dcterms:modified>
</cp:coreProperties>
</file>